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  <sheet state="visible" name="Análisis Precios Unitarios" sheetId="2" r:id="rId5"/>
    <sheet state="visible" name="Relación de Insumos" sheetId="3" r:id="rId6"/>
  </sheets>
  <definedNames/>
  <calcPr/>
  <extLst>
    <ext uri="GoogleSheetsCustomDataVersion2">
      <go:sheetsCustomData xmlns:go="http://customooxmlschemas.google.com/" r:id="rId7" roundtripDataChecksum="AWINHMHiTPAGa+k9SLI05G0c5nX6TnLXRox64nas5Hc="/>
    </ext>
  </extLst>
</workbook>
</file>

<file path=xl/sharedStrings.xml><?xml version="1.0" encoding="utf-8"?>
<sst xmlns="http://schemas.openxmlformats.org/spreadsheetml/2006/main" count="678" uniqueCount="223">
  <si>
    <t>Análisis de precios unitarios</t>
  </si>
  <si>
    <t>Presupuesto</t>
  </si>
  <si>
    <t>1101030</t>
  </si>
  <si>
    <t>PLAN DE MANTENIMIENTO - PANAILLO</t>
  </si>
  <si>
    <t>Subpresupuesto</t>
  </si>
  <si>
    <t>002</t>
  </si>
  <si>
    <t>PLAN DE MANTENIMIENTO CORRECTIVO Y PREVENTIVO</t>
  </si>
  <si>
    <t>PLAN DE MANTENIMIENTO-PANAILLO</t>
  </si>
  <si>
    <t>Cliente</t>
  </si>
  <si>
    <t>MUNICIPALIDAD DISTRITAL DE YARINACOCHA</t>
  </si>
  <si>
    <t>Fecha presupuesto</t>
  </si>
  <si>
    <t>Relación de Insumos</t>
  </si>
  <si>
    <t>Costo al</t>
  </si>
  <si>
    <t>02/08/2026</t>
  </si>
  <si>
    <t>Partida</t>
  </si>
  <si>
    <t>Lugar</t>
  </si>
  <si>
    <t>01.01.01  LIJADO DE COLUMNAS DE CONCRETO</t>
  </si>
  <si>
    <t>UCAYALI - CORONEL PORTILLO - PANAILLO</t>
  </si>
  <si>
    <t>Und.</t>
  </si>
  <si>
    <t>m2</t>
  </si>
  <si>
    <t>Rendimiento</t>
  </si>
  <si>
    <t>Item</t>
  </si>
  <si>
    <t>m2/DIA 20.0000</t>
  </si>
  <si>
    <t>EQ.</t>
  </si>
  <si>
    <t>Descripción</t>
  </si>
  <si>
    <t>Costo unitario directo por :</t>
  </si>
  <si>
    <t>PLAN DE MANTENIMIENTO  - PANAILLO</t>
  </si>
  <si>
    <t>Metrado</t>
  </si>
  <si>
    <t>Precio S/.</t>
  </si>
  <si>
    <t>Parcial S/.</t>
  </si>
  <si>
    <t>01</t>
  </si>
  <si>
    <t>MANTENIMIENTO DE CASTILLO DE CONCRETO</t>
  </si>
  <si>
    <t>28/02/2026</t>
  </si>
  <si>
    <t>Código</t>
  </si>
  <si>
    <t>Descripción Insumo</t>
  </si>
  <si>
    <t>01.01</t>
  </si>
  <si>
    <t>TRABAJOS PRELIMINARES</t>
  </si>
  <si>
    <t>Unidad</t>
  </si>
  <si>
    <t>Descripción Recurso</t>
  </si>
  <si>
    <t>Cantidad</t>
  </si>
  <si>
    <t>Cuadrilla</t>
  </si>
  <si>
    <t>01.01.01</t>
  </si>
  <si>
    <t>LIJADO DE COLUMNAS DE CONCRETO</t>
  </si>
  <si>
    <t>MANO DE OBRA</t>
  </si>
  <si>
    <t>0147010002</t>
  </si>
  <si>
    <t>OPERARIO</t>
  </si>
  <si>
    <t>0147010004</t>
  </si>
  <si>
    <t>hh</t>
  </si>
  <si>
    <t>PEON</t>
  </si>
  <si>
    <t>01.01.02</t>
  </si>
  <si>
    <t>LIJADO DE VIGAS DE CONCRETO</t>
  </si>
  <si>
    <t>MATERIALES</t>
  </si>
  <si>
    <t>01.01.03</t>
  </si>
  <si>
    <t>LIJADO DE PAREDES DE CONCRETO EN RESERVORIO</t>
  </si>
  <si>
    <t>0239020037</t>
  </si>
  <si>
    <t>LIJA #40 (PLIEGO)</t>
  </si>
  <si>
    <t>und</t>
  </si>
  <si>
    <t>01.02</t>
  </si>
  <si>
    <t>PINTURA</t>
  </si>
  <si>
    <t>01.02.01</t>
  </si>
  <si>
    <t>EQUIPOS</t>
  </si>
  <si>
    <t>PINTURA ESMALTE EN COLUMNAS DE CONCRETO (2 MANOS)</t>
  </si>
  <si>
    <t>0337010001</t>
  </si>
  <si>
    <t>HERRAMIENTAS MANUALES</t>
  </si>
  <si>
    <t>%MO</t>
  </si>
  <si>
    <t>01.02.02</t>
  </si>
  <si>
    <t>PINTURA ESMALTE EN VIGAS DE CONCRETO (2 MANOS)</t>
  </si>
  <si>
    <t>01.01.02  LIJADO DE VIGAS DE CONCRETO</t>
  </si>
  <si>
    <t>01.02.03</t>
  </si>
  <si>
    <t>PINTURA ESMALTE EN PAREDES DE CONCRETO (2 MANOS)</t>
  </si>
  <si>
    <t>03</t>
  </si>
  <si>
    <t>MANTENIMIENTO DE CERCO METALICO</t>
  </si>
  <si>
    <t>03.01</t>
  </si>
  <si>
    <t>03.01.01</t>
  </si>
  <si>
    <t>LIJADO DE SUPERFICIE METALICA</t>
  </si>
  <si>
    <t>03.02</t>
  </si>
  <si>
    <t>03.02.01</t>
  </si>
  <si>
    <t>PINTURA ANTICORROSIVA EN SUPERFICIE METALICA</t>
  </si>
  <si>
    <t>0201020068</t>
  </si>
  <si>
    <t>ACEITE DE MAQUINA 3 EN 1.60 ML</t>
  </si>
  <si>
    <t>04</t>
  </si>
  <si>
    <t>VARIOS</t>
  </si>
  <si>
    <t>04.01</t>
  </si>
  <si>
    <t>KIT DE HERRAMIENTAS</t>
  </si>
  <si>
    <t>0205010034</t>
  </si>
  <si>
    <t>CASCO DE SEGURIDAD</t>
  </si>
  <si>
    <t>04.01.01</t>
  </si>
  <si>
    <t>SUMINISTRO Y ENTREGA DE KIT DE HERRAMIENTAS (FORMATO SEGÚN ACTA DEL MVCS)</t>
  </si>
  <si>
    <t>GLB</t>
  </si>
  <si>
    <t>01.01.03  LIJADO DE PAREDES DE CONCRETO EN RESERVORIO</t>
  </si>
  <si>
    <t>m2/DIA 35.0000</t>
  </si>
  <si>
    <t>04.02</t>
  </si>
  <si>
    <t>SEGURIDAD Y SALUD</t>
  </si>
  <si>
    <t>0207020017</t>
  </si>
  <si>
    <t>ALICATE</t>
  </si>
  <si>
    <t>04.02.01</t>
  </si>
  <si>
    <t>EQUIPOS DE PROTECCION PERSONAL</t>
  </si>
  <si>
    <t>0207020018</t>
  </si>
  <si>
    <t>COMBA DE 6 LBS</t>
  </si>
  <si>
    <t>04.03</t>
  </si>
  <si>
    <t>TRANSPORTE</t>
  </si>
  <si>
    <t>04.03.01</t>
  </si>
  <si>
    <t>MOVILIZACIÓN Y TRANSPORTE DE MATERIALES, EQUIPOS Y HERRAMIENTAS</t>
  </si>
  <si>
    <t>0207020019</t>
  </si>
  <si>
    <t>LLAVE STILSON DE 18"</t>
  </si>
  <si>
    <t>04.04</t>
  </si>
  <si>
    <t>CAPACITACION</t>
  </si>
  <si>
    <t>0207020020</t>
  </si>
  <si>
    <t>ESCOFINA TIPO LUNA DE 1/2"</t>
  </si>
  <si>
    <t>04.04.01</t>
  </si>
  <si>
    <t>CAPACITACION DE OPERADORES Y JASS DE LA LOCALIDAD</t>
  </si>
  <si>
    <t>0207020021</t>
  </si>
  <si>
    <t>MASCARILLA PROTECTORA CON FILTRO ANTIGAS</t>
  </si>
  <si>
    <t>COSTO DIRECTO</t>
  </si>
  <si>
    <t>0207020022</t>
  </si>
  <si>
    <t>Gastos Generales 10% CD</t>
  </si>
  <si>
    <t>MARTILLO CARPINTERIA</t>
  </si>
  <si>
    <t>01.02.01  PINTURA ESMALTE EN COLUMNAS DE CONCRETO (2 MANOS)</t>
  </si>
  <si>
    <t>Utilidad 10% CD</t>
  </si>
  <si>
    <t>0207020023</t>
  </si>
  <si>
    <t>PALA RECTA</t>
  </si>
  <si>
    <t>SUBTOTAL</t>
  </si>
  <si>
    <t>0207020024</t>
  </si>
  <si>
    <t>MACHETE O CHAFLAN</t>
  </si>
  <si>
    <t>IGV (18%)</t>
  </si>
  <si>
    <t>0207020025</t>
  </si>
  <si>
    <t>HOJAS DE SIERRA</t>
  </si>
  <si>
    <t>TOTAL DEL PRESUPUESTO</t>
  </si>
  <si>
    <t>SON: VEINTINUEVE MIL QUINIENTOS CUATRO Y 47/100 SOLES</t>
  </si>
  <si>
    <t>0207020026</t>
  </si>
  <si>
    <t>WINCHA DE 5M</t>
  </si>
  <si>
    <t>0254020000</t>
  </si>
  <si>
    <t>0207020027</t>
  </si>
  <si>
    <t>PINTURA ESMALTE</t>
  </si>
  <si>
    <t>CINCEL DE PUNTA Y PLANA</t>
  </si>
  <si>
    <t>gln</t>
  </si>
  <si>
    <t>PAR</t>
  </si>
  <si>
    <t>0253030027</t>
  </si>
  <si>
    <t>THINER</t>
  </si>
  <si>
    <t>0210130059</t>
  </si>
  <si>
    <t>PICO CON MANGO</t>
  </si>
  <si>
    <t>0210210043</t>
  </si>
  <si>
    <t>BOTAS DE JEBE</t>
  </si>
  <si>
    <t>0348800000</t>
  </si>
  <si>
    <t>ANDAMIO</t>
  </si>
  <si>
    <t>HE</t>
  </si>
  <si>
    <t>0226310057</t>
  </si>
  <si>
    <t>CHALECO REFLECTIVO</t>
  </si>
  <si>
    <t>0226570002</t>
  </si>
  <si>
    <t>LLAVE FRANCESA DE 15"</t>
  </si>
  <si>
    <t>01.02.02  PINTURA ESMALTE EN VIGAS DE CONCRETO (2 MANOS)</t>
  </si>
  <si>
    <t>0229130010</t>
  </si>
  <si>
    <t>CINTA TEFLON</t>
  </si>
  <si>
    <t>0230010085</t>
  </si>
  <si>
    <t>PEGAMENTO PVC 1/4 GALON</t>
  </si>
  <si>
    <t>0230350007</t>
  </si>
  <si>
    <t>MEDIDOR DE PLASTICO GRADUADO DE UN KILO PARA MEDIR CLORO</t>
  </si>
  <si>
    <t>0230530013</t>
  </si>
  <si>
    <t>ESCOBILLA DE PLASTICO CON ASA</t>
  </si>
  <si>
    <t>0230530014</t>
  </si>
  <si>
    <t>ESCOBA DE PLASTICO</t>
  </si>
  <si>
    <t>0230700084</t>
  </si>
  <si>
    <t>BALDE DE PLASTICO GRADUADO DE 20 LT.</t>
  </si>
  <si>
    <t>0230750100</t>
  </si>
  <si>
    <t>BLISTER DE PASTILLAS DPD</t>
  </si>
  <si>
    <t>0230760075</t>
  </si>
  <si>
    <t>COMPARADOR DE CLORO DIGITAL</t>
  </si>
  <si>
    <t>01.02.03  PINTURA ESMALTE EN PAREDES DE CONCRETO (2 MANOS)</t>
  </si>
  <si>
    <t>m2/DIA 30.0000</t>
  </si>
  <si>
    <t>30.0000</t>
  </si>
  <si>
    <t>0230920061</t>
  </si>
  <si>
    <t>MANGUERA</t>
  </si>
  <si>
    <t>m</t>
  </si>
  <si>
    <t>0230990101</t>
  </si>
  <si>
    <t>OVEROL</t>
  </si>
  <si>
    <t>0232010095</t>
  </si>
  <si>
    <t>TRANSPORTE DE EQUIPOS Y MATERIALES</t>
  </si>
  <si>
    <t>0239020027</t>
  </si>
  <si>
    <t>LIJA DE FIERRO # 80</t>
  </si>
  <si>
    <t>pza</t>
  </si>
  <si>
    <t>0254110096</t>
  </si>
  <si>
    <t>0239060024</t>
  </si>
  <si>
    <t>WAYPE INDUSTRIAL</t>
  </si>
  <si>
    <t>kg</t>
  </si>
  <si>
    <t>03.01.01  LIJADO DE SUPERFICIE METALICA</t>
  </si>
  <si>
    <t>0239070002</t>
  </si>
  <si>
    <t>GUANTES DE HILO ROJO C/ PALMA DE LATEX</t>
  </si>
  <si>
    <t>0239070003</t>
  </si>
  <si>
    <t>GUANTES DE JEBE</t>
  </si>
  <si>
    <t>0239070004</t>
  </si>
  <si>
    <t>0239070005</t>
  </si>
  <si>
    <t>DESTORNILLADOR PLANO</t>
  </si>
  <si>
    <t>0239160010</t>
  </si>
  <si>
    <t>BROCHA</t>
  </si>
  <si>
    <t>0239990058</t>
  </si>
  <si>
    <t>ARCO DE SIERRA</t>
  </si>
  <si>
    <t>03.02.01  PINTURA ANTICORROSIVA EN SUPERFICIE METALICA</t>
  </si>
  <si>
    <t>m2/DIA 15.0000</t>
  </si>
  <si>
    <t>15.0000</t>
  </si>
  <si>
    <t>0239990059</t>
  </si>
  <si>
    <t>CARRETILLA</t>
  </si>
  <si>
    <t>0239990060</t>
  </si>
  <si>
    <t>LENTES DE SEGURIDAD</t>
  </si>
  <si>
    <t>0253030033</t>
  </si>
  <si>
    <t>THINER ACRILICO</t>
  </si>
  <si>
    <t>0253030035</t>
  </si>
  <si>
    <t>BROCHA 2 1/2"</t>
  </si>
  <si>
    <t>0254060000</t>
  </si>
  <si>
    <t>PINTURA ANTICORROSIVA</t>
  </si>
  <si>
    <t>04.01.01  SUMINISTRO Y ENTREGA DE KIT DE HERRAMIENTAS (FORMATO SEGÚN ACTA DEL MVCS)</t>
  </si>
  <si>
    <t>Costo unitario directo por : GLB 1.0000</t>
  </si>
  <si>
    <t>0256990022</t>
  </si>
  <si>
    <t>CAJA PLASTICA METALICA MADERA</t>
  </si>
  <si>
    <t>0337010005</t>
  </si>
  <si>
    <t>SERVICIOS DE CAPACITACION Y ASISTENCIA TECNICA</t>
  </si>
  <si>
    <t>glb</t>
  </si>
  <si>
    <t>Total</t>
  </si>
  <si>
    <t>04.02.01  EQUIPOS DE PROTECCION PERSONAL</t>
  </si>
  <si>
    <t>und/DIA 1.0000</t>
  </si>
  <si>
    <t>1.0000</t>
  </si>
  <si>
    <t>04.03.01  MOVILIZACIÓN Y TRANSPORTE DE MATERIALES, EQUIPOS Y HERRAMIENTAS</t>
  </si>
  <si>
    <t>04.04.01  CAPACITACION DE OPERADORES Y JASS DE LA LOCALIDAD</t>
  </si>
  <si>
    <t>20.0000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</si>
</sst>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#,##0.0000"/>
    <numFmt numFmtId="166" formatCode="#,##0.000"/>
  </numFmts>
  <fonts count="5">
    <font>
      <sz val="11.0"/>
      <color theme="1"/>
      <name val="Calibri"/>
      <scheme val="minor"/>
    </font>
    <font>
      <b/>
      <sz val="11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6">
    <border/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readingOrder="0"/>
    </xf>
    <xf borderId="1" fillId="0" fontId="2" numFmtId="0" xfId="0" applyBorder="1" applyFont="1"/>
    <xf borderId="1" fillId="0" fontId="3" numFmtId="0" xfId="0" applyBorder="1" applyFont="1"/>
    <xf borderId="0" fillId="0" fontId="3" numFmtId="0" xfId="0" applyFont="1"/>
    <xf borderId="1" fillId="0" fontId="4" numFmtId="0" xfId="0" applyBorder="1" applyFont="1"/>
    <xf borderId="1" fillId="0" fontId="3" numFmtId="0" xfId="0" applyAlignment="1" applyBorder="1" applyFont="1">
      <alignment horizontal="right" vertical="center"/>
    </xf>
    <xf borderId="1" fillId="0" fontId="2" numFmtId="0" xfId="0" applyAlignment="1" applyBorder="1" applyFont="1">
      <alignment horizontal="right" vertical="center"/>
    </xf>
    <xf borderId="0" fillId="0" fontId="3" numFmtId="14" xfId="0" applyFont="1" applyNumberFormat="1"/>
    <xf borderId="2" fillId="0" fontId="2" numFmtId="0" xfId="0" applyAlignment="1" applyBorder="1" applyFont="1">
      <alignment horizontal="center" vertical="center"/>
    </xf>
    <xf borderId="0" fillId="0" fontId="3" numFmtId="164" xfId="0" applyFont="1" applyNumberFormat="1"/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righ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4" xfId="0" applyAlignment="1" applyFont="1" applyNumberFormat="1">
      <alignment horizontal="right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4" xfId="0" applyAlignment="1" applyFont="1" applyNumberFormat="1">
      <alignment horizontal="right" vertical="center"/>
    </xf>
    <xf borderId="0" fillId="0" fontId="3" numFmtId="165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6" xfId="0" applyAlignment="1" applyFont="1" applyNumberFormat="1">
      <alignment horizontal="right" vertical="center"/>
    </xf>
    <xf borderId="3" fillId="2" fontId="3" numFmtId="165" xfId="0" applyAlignment="1" applyBorder="1" applyFill="1" applyFont="1" applyNumberFormat="1">
      <alignment horizontal="right" vertical="center"/>
    </xf>
    <xf borderId="4" fillId="0" fontId="2" numFmtId="4" xfId="0" applyAlignment="1" applyBorder="1" applyFont="1" applyNumberFormat="1">
      <alignment horizontal="right" vertical="center"/>
    </xf>
    <xf borderId="5" fillId="0" fontId="2" numFmtId="4" xfId="0" applyAlignment="1" applyBorder="1" applyFont="1" applyNumberFormat="1">
      <alignment horizontal="right" vertical="center"/>
    </xf>
    <xf borderId="0" fillId="0" fontId="2" numFmtId="0" xfId="0" applyAlignment="1" applyFont="1">
      <alignment readingOrder="0"/>
    </xf>
    <xf borderId="0" fillId="0" fontId="4" numFmtId="2" xfId="0" applyFont="1" applyNumberFormat="1"/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76.0"/>
    <col customWidth="1" min="3" max="3" width="49.0"/>
    <col customWidth="1" min="4" max="4" width="12.0"/>
    <col customWidth="1" min="5" max="5" width="37.0"/>
    <col customWidth="1" min="6" max="6" width="24.0"/>
    <col customWidth="1" min="7" max="26" width="8.71"/>
  </cols>
  <sheetData>
    <row r="1">
      <c r="A1" s="1" t="s">
        <v>1</v>
      </c>
    </row>
    <row r="3">
      <c r="A3" s="2" t="s">
        <v>1</v>
      </c>
      <c r="B3" s="6" t="s">
        <v>2</v>
      </c>
      <c r="C3" s="3" t="s">
        <v>7</v>
      </c>
    </row>
    <row r="4">
      <c r="A4" s="2" t="s">
        <v>4</v>
      </c>
      <c r="B4" s="6" t="s">
        <v>5</v>
      </c>
      <c r="C4" s="6" t="s">
        <v>6</v>
      </c>
    </row>
    <row r="5">
      <c r="A5" s="2" t="s">
        <v>8</v>
      </c>
      <c r="C5" s="6" t="s">
        <v>9</v>
      </c>
      <c r="E5" s="2" t="s">
        <v>12</v>
      </c>
      <c r="F5" s="10">
        <v>46236.0</v>
      </c>
    </row>
    <row r="6">
      <c r="A6" s="2" t="s">
        <v>15</v>
      </c>
      <c r="C6" s="6" t="s">
        <v>17</v>
      </c>
    </row>
    <row r="8">
      <c r="A8" s="11" t="s">
        <v>21</v>
      </c>
      <c r="B8" s="13" t="s">
        <v>24</v>
      </c>
      <c r="C8" s="11" t="s">
        <v>18</v>
      </c>
      <c r="D8" s="14" t="s">
        <v>27</v>
      </c>
      <c r="E8" s="14" t="s">
        <v>28</v>
      </c>
      <c r="F8" s="14" t="s">
        <v>29</v>
      </c>
    </row>
    <row r="9">
      <c r="A9" s="15" t="s">
        <v>30</v>
      </c>
      <c r="B9" s="15" t="s">
        <v>31</v>
      </c>
      <c r="C9" s="16"/>
      <c r="F9" s="17">
        <f>SUM(F10,F14)</f>
        <v>12652.28</v>
      </c>
    </row>
    <row r="10">
      <c r="A10" s="15" t="s">
        <v>35</v>
      </c>
      <c r="B10" s="15" t="s">
        <v>36</v>
      </c>
      <c r="C10" s="16"/>
      <c r="F10" s="17">
        <f>SUM(F11:F13)</f>
        <v>4327.81</v>
      </c>
    </row>
    <row r="11">
      <c r="A11" s="18" t="s">
        <v>41</v>
      </c>
      <c r="B11" s="18" t="s">
        <v>42</v>
      </c>
      <c r="C11" s="19" t="s">
        <v>19</v>
      </c>
      <c r="D11" s="20">
        <v>79.63</v>
      </c>
      <c r="E11" s="20">
        <f>'Análisis Precios Unitarios'!G7</f>
        <v>18.2409</v>
      </c>
      <c r="F11" s="20">
        <f t="shared" ref="F11:F13" si="1">ROUND(D11*E11, 2)</f>
        <v>1452.52</v>
      </c>
    </row>
    <row r="12">
      <c r="A12" s="18" t="s">
        <v>49</v>
      </c>
      <c r="B12" s="18" t="s">
        <v>50</v>
      </c>
      <c r="C12" s="19" t="s">
        <v>19</v>
      </c>
      <c r="D12" s="20">
        <v>59.98</v>
      </c>
      <c r="E12" s="20">
        <f>'Análisis Precios Unitarios'!G21</f>
        <v>18.4209</v>
      </c>
      <c r="F12" s="20">
        <f t="shared" si="1"/>
        <v>1104.89</v>
      </c>
    </row>
    <row r="13">
      <c r="A13" s="18" t="s">
        <v>52</v>
      </c>
      <c r="B13" s="18" t="s">
        <v>53</v>
      </c>
      <c r="C13" s="19" t="s">
        <v>19</v>
      </c>
      <c r="D13" s="20">
        <v>165.12</v>
      </c>
      <c r="E13" s="20">
        <f>'Análisis Precios Unitarios'!G35</f>
        <v>10.7219</v>
      </c>
      <c r="F13" s="20">
        <f t="shared" si="1"/>
        <v>1770.4</v>
      </c>
    </row>
    <row r="14">
      <c r="A14" s="15" t="s">
        <v>57</v>
      </c>
      <c r="B14" s="15" t="s">
        <v>58</v>
      </c>
      <c r="C14" s="16"/>
      <c r="F14" s="17">
        <f>SUM(F15:F17)</f>
        <v>8324.47</v>
      </c>
    </row>
    <row r="15">
      <c r="A15" s="18" t="s">
        <v>59</v>
      </c>
      <c r="B15" s="18" t="s">
        <v>61</v>
      </c>
      <c r="C15" s="19" t="s">
        <v>19</v>
      </c>
      <c r="D15" s="20">
        <v>79.63</v>
      </c>
      <c r="E15" s="23">
        <f>'Análisis Precios Unitarios'!G49</f>
        <v>29.081</v>
      </c>
      <c r="F15" s="20">
        <f t="shared" ref="F15:F17" si="2">ROUND(D15*E15, 2)</f>
        <v>2315.72</v>
      </c>
    </row>
    <row r="16">
      <c r="A16" s="18" t="s">
        <v>65</v>
      </c>
      <c r="B16" s="18" t="s">
        <v>66</v>
      </c>
      <c r="C16" s="19" t="s">
        <v>19</v>
      </c>
      <c r="D16" s="20">
        <v>59.98</v>
      </c>
      <c r="E16" s="20">
        <f>'Análisis Precios Unitarios'!G66</f>
        <v>25.081</v>
      </c>
      <c r="F16" s="20">
        <f t="shared" si="2"/>
        <v>1504.36</v>
      </c>
    </row>
    <row r="17">
      <c r="A17" s="18" t="s">
        <v>68</v>
      </c>
      <c r="B17" s="18" t="s">
        <v>69</v>
      </c>
      <c r="C17" s="19" t="s">
        <v>19</v>
      </c>
      <c r="D17" s="20">
        <v>165.12</v>
      </c>
      <c r="E17" s="20">
        <f>'Análisis Precios Unitarios'!G83</f>
        <v>27.2795</v>
      </c>
      <c r="F17" s="20">
        <f t="shared" si="2"/>
        <v>4504.39</v>
      </c>
    </row>
    <row r="18">
      <c r="A18" s="15" t="s">
        <v>70</v>
      </c>
      <c r="B18" s="15" t="s">
        <v>71</v>
      </c>
      <c r="C18" s="16"/>
      <c r="F18" s="17">
        <f>SUM(F19,F21)</f>
        <v>4819.41</v>
      </c>
    </row>
    <row r="19">
      <c r="A19" s="15" t="s">
        <v>72</v>
      </c>
      <c r="B19" s="15" t="s">
        <v>36</v>
      </c>
      <c r="C19" s="16"/>
      <c r="F19" s="17">
        <f>SUM(F20)</f>
        <v>1622.32</v>
      </c>
    </row>
    <row r="20">
      <c r="A20" s="18" t="s">
        <v>73</v>
      </c>
      <c r="B20" s="18" t="s">
        <v>74</v>
      </c>
      <c r="C20" s="19" t="s">
        <v>19</v>
      </c>
      <c r="D20" s="20">
        <v>144.4</v>
      </c>
      <c r="E20" s="20">
        <f>'Análisis Precios Unitarios'!G100</f>
        <v>11.2349</v>
      </c>
      <c r="F20" s="20">
        <f>ROUND(D20*E20, 2)</f>
        <v>1622.32</v>
      </c>
    </row>
    <row r="21" ht="15.75" customHeight="1">
      <c r="A21" s="15" t="s">
        <v>75</v>
      </c>
      <c r="B21" s="15" t="s">
        <v>58</v>
      </c>
      <c r="C21" s="16"/>
      <c r="F21" s="17">
        <f>SUM(F22)</f>
        <v>3197.09</v>
      </c>
    </row>
    <row r="22" ht="15.75" customHeight="1">
      <c r="A22" s="18" t="s">
        <v>76</v>
      </c>
      <c r="B22" s="18" t="s">
        <v>77</v>
      </c>
      <c r="C22" s="19" t="s">
        <v>19</v>
      </c>
      <c r="D22" s="20">
        <v>144.4</v>
      </c>
      <c r="E22" s="20">
        <f>'Análisis Precios Unitarios'!G115</f>
        <v>22.1405</v>
      </c>
      <c r="F22" s="20">
        <f>ROUND(D22*E22, 2)</f>
        <v>3197.09</v>
      </c>
    </row>
    <row r="23" ht="15.75" customHeight="1">
      <c r="A23" s="15" t="s">
        <v>80</v>
      </c>
      <c r="B23" s="15" t="s">
        <v>81</v>
      </c>
      <c r="C23" s="16"/>
      <c r="F23" s="17">
        <f>SUM(F24,F26,F28,F30)</f>
        <v>3364.8</v>
      </c>
    </row>
    <row r="24" ht="15.75" customHeight="1">
      <c r="A24" s="15" t="s">
        <v>82</v>
      </c>
      <c r="B24" s="15" t="s">
        <v>83</v>
      </c>
      <c r="C24" s="16"/>
      <c r="F24" s="17">
        <f>SUM(F25)</f>
        <v>2415.8</v>
      </c>
    </row>
    <row r="25" ht="15.75" customHeight="1">
      <c r="A25" s="18" t="s">
        <v>86</v>
      </c>
      <c r="B25" s="18" t="s">
        <v>87</v>
      </c>
      <c r="C25" s="19" t="s">
        <v>88</v>
      </c>
      <c r="D25" s="20">
        <v>1.0</v>
      </c>
      <c r="E25" s="20">
        <f>'Análisis Precios Unitarios'!G132</f>
        <v>2415.8</v>
      </c>
      <c r="F25" s="20">
        <f>ROUND(D25*E25, 2)</f>
        <v>2415.8</v>
      </c>
    </row>
    <row r="26" ht="15.75" customHeight="1">
      <c r="A26" s="15" t="s">
        <v>91</v>
      </c>
      <c r="B26" s="15" t="s">
        <v>92</v>
      </c>
      <c r="C26" s="16"/>
      <c r="F26" s="17">
        <f>SUM(F27)</f>
        <v>249</v>
      </c>
    </row>
    <row r="27" ht="15.75" customHeight="1">
      <c r="A27" s="18" t="s">
        <v>95</v>
      </c>
      <c r="B27" s="18" t="s">
        <v>96</v>
      </c>
      <c r="C27" s="19" t="s">
        <v>56</v>
      </c>
      <c r="D27" s="20">
        <v>3.0</v>
      </c>
      <c r="E27" s="20">
        <f>'Análisis Precios Unitarios'!G173</f>
        <v>83</v>
      </c>
      <c r="F27" s="20">
        <f>ROUND(D27*E27, 2)</f>
        <v>249</v>
      </c>
    </row>
    <row r="28" ht="15.75" customHeight="1">
      <c r="A28" s="15" t="s">
        <v>99</v>
      </c>
      <c r="B28" s="15" t="s">
        <v>100</v>
      </c>
      <c r="C28" s="16"/>
      <c r="F28" s="17">
        <f>SUM(F29)</f>
        <v>500</v>
      </c>
    </row>
    <row r="29" ht="15.75" customHeight="1">
      <c r="A29" s="18" t="s">
        <v>101</v>
      </c>
      <c r="B29" s="18" t="s">
        <v>102</v>
      </c>
      <c r="C29" s="19" t="s">
        <v>88</v>
      </c>
      <c r="D29" s="20">
        <v>1.0</v>
      </c>
      <c r="E29" s="20">
        <f>'Análisis Precios Unitarios'!G184</f>
        <v>500</v>
      </c>
      <c r="F29" s="20">
        <f>ROUND(D29*E29, 2)</f>
        <v>500</v>
      </c>
    </row>
    <row r="30" ht="15.75" customHeight="1">
      <c r="A30" s="15" t="s">
        <v>105</v>
      </c>
      <c r="B30" s="15" t="s">
        <v>106</v>
      </c>
      <c r="C30" s="16"/>
      <c r="F30" s="17">
        <f>SUM(F31)</f>
        <v>200</v>
      </c>
    </row>
    <row r="31" ht="15.75" customHeight="1">
      <c r="A31" s="18" t="s">
        <v>109</v>
      </c>
      <c r="B31" s="18" t="s">
        <v>110</v>
      </c>
      <c r="C31" s="19" t="s">
        <v>88</v>
      </c>
      <c r="D31" s="20">
        <v>1.0</v>
      </c>
      <c r="E31" s="20">
        <f>'Análisis Precios Unitarios'!G192</f>
        <v>200</v>
      </c>
      <c r="F31" s="20">
        <f>ROUND(D31*E31, 2)</f>
        <v>200</v>
      </c>
    </row>
    <row r="32" ht="15.75" customHeight="1"/>
    <row r="33" ht="15.75" customHeight="1">
      <c r="B33" s="2" t="s">
        <v>113</v>
      </c>
      <c r="F33" s="17">
        <f>SUM(F9,F18,F23)</f>
        <v>20836.49</v>
      </c>
    </row>
    <row r="34" ht="15.75" customHeight="1">
      <c r="B34" s="2" t="s">
        <v>115</v>
      </c>
      <c r="F34" s="17">
        <f>ROUND(F33*0.1, 2)</f>
        <v>2083.65</v>
      </c>
    </row>
    <row r="35" ht="15.75" customHeight="1">
      <c r="B35" s="2" t="s">
        <v>118</v>
      </c>
      <c r="F35" s="25">
        <f>ROUND(F33*0.1, 2)</f>
        <v>2083.65</v>
      </c>
    </row>
    <row r="36" ht="15.75" customHeight="1">
      <c r="B36" s="2" t="s">
        <v>121</v>
      </c>
      <c r="F36" s="17">
        <f>F33+F34+F35</f>
        <v>25003.79</v>
      </c>
    </row>
    <row r="37" ht="15.75" customHeight="1">
      <c r="B37" s="2" t="s">
        <v>124</v>
      </c>
      <c r="F37" s="26">
        <f>ROUND(F36*0.18, 2)</f>
        <v>4500.68</v>
      </c>
    </row>
    <row r="38" ht="15.75" customHeight="1"/>
    <row r="39" ht="15.75" customHeight="1">
      <c r="B39" s="2" t="s">
        <v>127</v>
      </c>
      <c r="F39" s="17">
        <f>F36+F37</f>
        <v>29504.47</v>
      </c>
    </row>
    <row r="40" ht="15.75" customHeight="1"/>
    <row r="41" ht="15.75" customHeight="1">
      <c r="B41" s="27" t="s">
        <v>128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86.0"/>
    <col customWidth="1" min="3" max="4" width="12.0"/>
    <col customWidth="1" min="5" max="5" width="8.29"/>
    <col customWidth="1" min="6" max="6" width="31.0"/>
    <col customWidth="1" min="7" max="7" width="23.0"/>
    <col customWidth="1" min="8" max="26" width="8.71"/>
  </cols>
  <sheetData>
    <row r="1">
      <c r="A1" s="1" t="s">
        <v>0</v>
      </c>
    </row>
    <row r="3">
      <c r="A3" s="2" t="s">
        <v>1</v>
      </c>
      <c r="B3" s="2" t="s">
        <v>2</v>
      </c>
      <c r="C3" s="3" t="s">
        <v>3</v>
      </c>
    </row>
    <row r="4">
      <c r="A4" s="4" t="s">
        <v>4</v>
      </c>
      <c r="B4" s="4" t="s">
        <v>5</v>
      </c>
      <c r="C4" s="5" t="s">
        <v>6</v>
      </c>
      <c r="D4" s="7"/>
      <c r="E4" s="7"/>
      <c r="F4" s="8" t="s">
        <v>10</v>
      </c>
      <c r="G4" s="9" t="s">
        <v>13</v>
      </c>
    </row>
    <row r="6">
      <c r="A6" s="2" t="s">
        <v>14</v>
      </c>
      <c r="B6" s="2" t="s">
        <v>16</v>
      </c>
      <c r="F6" s="2" t="s">
        <v>18</v>
      </c>
      <c r="G6" s="6" t="s">
        <v>19</v>
      </c>
    </row>
    <row r="7">
      <c r="A7" s="2" t="s">
        <v>20</v>
      </c>
      <c r="B7" s="6" t="s">
        <v>22</v>
      </c>
      <c r="D7" s="2" t="s">
        <v>23</v>
      </c>
      <c r="E7" s="12">
        <v>20.0</v>
      </c>
      <c r="F7" s="2" t="s">
        <v>25</v>
      </c>
      <c r="G7" s="17">
        <f>SUM(G11,G14,G17)</f>
        <v>18.2409</v>
      </c>
    </row>
    <row r="8">
      <c r="A8" s="11" t="s">
        <v>33</v>
      </c>
      <c r="B8" s="13" t="s">
        <v>38</v>
      </c>
      <c r="C8" s="11" t="s">
        <v>37</v>
      </c>
      <c r="D8" s="14" t="s">
        <v>40</v>
      </c>
      <c r="E8" s="14" t="s">
        <v>39</v>
      </c>
      <c r="F8" s="14" t="s">
        <v>28</v>
      </c>
      <c r="G8" s="14" t="s">
        <v>29</v>
      </c>
    </row>
    <row r="9">
      <c r="B9" s="2" t="s">
        <v>43</v>
      </c>
    </row>
    <row r="10">
      <c r="A10" s="6" t="s">
        <v>46</v>
      </c>
      <c r="B10" s="6" t="s">
        <v>48</v>
      </c>
      <c r="C10" s="19" t="s">
        <v>47</v>
      </c>
      <c r="D10" s="21">
        <v>2.0</v>
      </c>
      <c r="E10" s="21">
        <f>8*D10/$E$7</f>
        <v>0.8</v>
      </c>
      <c r="F10" s="20">
        <v>21.29</v>
      </c>
      <c r="G10" s="20">
        <f>ROUND(E10*F10, 2)</f>
        <v>17.03</v>
      </c>
    </row>
    <row r="11">
      <c r="G11" s="17">
        <f>SUM(G10)</f>
        <v>17.03</v>
      </c>
    </row>
    <row r="12">
      <c r="B12" s="2" t="s">
        <v>51</v>
      </c>
    </row>
    <row r="13">
      <c r="A13" s="6" t="s">
        <v>54</v>
      </c>
      <c r="B13" s="6" t="s">
        <v>55</v>
      </c>
      <c r="C13" s="19" t="s">
        <v>56</v>
      </c>
      <c r="D13" s="22"/>
      <c r="E13" s="21">
        <v>0.2</v>
      </c>
      <c r="F13" s="20">
        <v>3.5</v>
      </c>
      <c r="G13" s="20">
        <f>ROUND(E13*F13, 2)</f>
        <v>0.7</v>
      </c>
    </row>
    <row r="14">
      <c r="G14" s="17">
        <f>SUM(G13)</f>
        <v>0.7</v>
      </c>
    </row>
    <row r="15">
      <c r="B15" s="2" t="s">
        <v>60</v>
      </c>
    </row>
    <row r="16">
      <c r="A16" s="6" t="s">
        <v>62</v>
      </c>
      <c r="B16" s="6" t="s">
        <v>63</v>
      </c>
      <c r="C16" s="19" t="s">
        <v>64</v>
      </c>
      <c r="D16" s="21"/>
      <c r="E16" s="21">
        <v>3.0</v>
      </c>
      <c r="F16" s="20">
        <f>G11</f>
        <v>17.03</v>
      </c>
      <c r="G16" s="20">
        <f>ROUND(E16*F16, 2)/100</f>
        <v>0.5109</v>
      </c>
    </row>
    <row r="17">
      <c r="G17" s="17">
        <f>SUM(G16)</f>
        <v>0.5109</v>
      </c>
    </row>
    <row r="20">
      <c r="A20" s="2" t="s">
        <v>14</v>
      </c>
      <c r="B20" s="2" t="s">
        <v>67</v>
      </c>
      <c r="F20" s="6" t="s">
        <v>18</v>
      </c>
      <c r="G20" s="6" t="s">
        <v>19</v>
      </c>
    </row>
    <row r="21" ht="15.75" customHeight="1">
      <c r="A21" s="2" t="s">
        <v>20</v>
      </c>
      <c r="B21" s="6" t="s">
        <v>22</v>
      </c>
      <c r="D21" s="2" t="s">
        <v>23</v>
      </c>
      <c r="E21" s="12">
        <v>20.0</v>
      </c>
      <c r="F21" s="2" t="s">
        <v>25</v>
      </c>
      <c r="G21" s="17">
        <f>SUM(G25,G28,G31)</f>
        <v>18.4209</v>
      </c>
    </row>
    <row r="22" ht="15.75" customHeight="1">
      <c r="A22" s="11" t="s">
        <v>33</v>
      </c>
      <c r="B22" s="13" t="s">
        <v>38</v>
      </c>
      <c r="C22" s="11" t="s">
        <v>37</v>
      </c>
      <c r="D22" s="14" t="s">
        <v>40</v>
      </c>
      <c r="E22" s="14" t="s">
        <v>39</v>
      </c>
      <c r="F22" s="14" t="s">
        <v>28</v>
      </c>
      <c r="G22" s="14" t="s">
        <v>29</v>
      </c>
    </row>
    <row r="23" ht="15.75" customHeight="1">
      <c r="B23" s="2" t="s">
        <v>43</v>
      </c>
    </row>
    <row r="24" ht="15.75" customHeight="1">
      <c r="A24" s="6" t="s">
        <v>46</v>
      </c>
      <c r="B24" s="6" t="s">
        <v>48</v>
      </c>
      <c r="C24" s="19" t="s">
        <v>47</v>
      </c>
      <c r="D24" s="21">
        <v>2.0</v>
      </c>
      <c r="E24" s="21">
        <f>8*D24/$E$21</f>
        <v>0.8</v>
      </c>
      <c r="F24" s="20">
        <v>21.29</v>
      </c>
      <c r="G24" s="20">
        <f>ROUND(E24*F24, 2)</f>
        <v>17.03</v>
      </c>
    </row>
    <row r="25" ht="15.75" customHeight="1">
      <c r="G25" s="17">
        <f>SUM(G24)</f>
        <v>17.03</v>
      </c>
    </row>
    <row r="26" ht="15.75" customHeight="1">
      <c r="B26" s="2" t="s">
        <v>51</v>
      </c>
    </row>
    <row r="27" ht="15.75" customHeight="1">
      <c r="A27" s="6" t="s">
        <v>54</v>
      </c>
      <c r="B27" s="6" t="s">
        <v>55</v>
      </c>
      <c r="C27" s="19" t="s">
        <v>56</v>
      </c>
      <c r="D27" s="22"/>
      <c r="E27" s="21">
        <v>0.25</v>
      </c>
      <c r="F27" s="20">
        <v>3.5</v>
      </c>
      <c r="G27" s="20">
        <f>ROUND(E27*F27, 2)</f>
        <v>0.88</v>
      </c>
    </row>
    <row r="28" ht="15.75" customHeight="1">
      <c r="G28" s="17">
        <f>SUM(G27)</f>
        <v>0.88</v>
      </c>
    </row>
    <row r="29" ht="15.75" customHeight="1">
      <c r="B29" s="2" t="s">
        <v>60</v>
      </c>
    </row>
    <row r="30" ht="15.75" customHeight="1">
      <c r="A30" s="6" t="s">
        <v>62</v>
      </c>
      <c r="B30" s="6" t="s">
        <v>63</v>
      </c>
      <c r="C30" s="19" t="s">
        <v>64</v>
      </c>
      <c r="D30" s="21"/>
      <c r="E30" s="21">
        <v>3.0</v>
      </c>
      <c r="F30" s="20">
        <f>G25</f>
        <v>17.03</v>
      </c>
      <c r="G30" s="20">
        <f>ROUND(E30*F30, 2)/100</f>
        <v>0.5109</v>
      </c>
    </row>
    <row r="31" ht="15.75" customHeight="1">
      <c r="G31" s="17">
        <f>SUM(G30)</f>
        <v>0.5109</v>
      </c>
    </row>
    <row r="32" ht="15.75" customHeight="1"/>
    <row r="33" ht="15.75" customHeight="1"/>
    <row r="34" ht="15.75" customHeight="1">
      <c r="A34" s="2" t="s">
        <v>14</v>
      </c>
      <c r="B34" s="2" t="s">
        <v>89</v>
      </c>
      <c r="F34" s="2" t="s">
        <v>18</v>
      </c>
      <c r="G34" s="6" t="s">
        <v>19</v>
      </c>
    </row>
    <row r="35" ht="15.75" customHeight="1">
      <c r="A35" s="2" t="s">
        <v>20</v>
      </c>
      <c r="B35" s="6" t="s">
        <v>90</v>
      </c>
      <c r="D35" s="2" t="s">
        <v>23</v>
      </c>
      <c r="E35" s="12">
        <v>35.0</v>
      </c>
      <c r="F35" s="2" t="s">
        <v>25</v>
      </c>
      <c r="G35" s="17">
        <f>SUM(G39,G42,G45)</f>
        <v>10.7219</v>
      </c>
    </row>
    <row r="36" ht="15.75" customHeight="1">
      <c r="A36" s="11" t="s">
        <v>33</v>
      </c>
      <c r="B36" s="13" t="s">
        <v>38</v>
      </c>
      <c r="C36" s="11" t="s">
        <v>37</v>
      </c>
      <c r="D36" s="14" t="s">
        <v>40</v>
      </c>
      <c r="E36" s="14" t="s">
        <v>39</v>
      </c>
      <c r="F36" s="14" t="s">
        <v>28</v>
      </c>
      <c r="G36" s="14" t="s">
        <v>29</v>
      </c>
    </row>
    <row r="37" ht="15.75" customHeight="1">
      <c r="B37" s="2" t="s">
        <v>43</v>
      </c>
    </row>
    <row r="38" ht="15.75" customHeight="1">
      <c r="A38" s="6" t="s">
        <v>46</v>
      </c>
      <c r="B38" s="6" t="s">
        <v>48</v>
      </c>
      <c r="C38" s="19" t="s">
        <v>47</v>
      </c>
      <c r="D38" s="21">
        <v>2.0</v>
      </c>
      <c r="E38" s="21">
        <f>8*D38/$E$35</f>
        <v>0.4571428571</v>
      </c>
      <c r="F38" s="20">
        <v>21.29</v>
      </c>
      <c r="G38" s="20">
        <f>ROUND(E38*F38, 2)</f>
        <v>9.73</v>
      </c>
    </row>
    <row r="39" ht="15.75" customHeight="1">
      <c r="G39" s="17">
        <f>SUM(G38)</f>
        <v>9.73</v>
      </c>
    </row>
    <row r="40" ht="15.75" customHeight="1">
      <c r="B40" s="2" t="s">
        <v>51</v>
      </c>
    </row>
    <row r="41" ht="15.75" customHeight="1">
      <c r="A41" s="6" t="s">
        <v>54</v>
      </c>
      <c r="B41" s="6" t="s">
        <v>55</v>
      </c>
      <c r="C41" s="19" t="s">
        <v>56</v>
      </c>
      <c r="D41" s="22"/>
      <c r="E41" s="24">
        <v>0.2</v>
      </c>
      <c r="F41" s="20">
        <v>3.5</v>
      </c>
      <c r="G41" s="20">
        <f>ROUND(E41*F41, 2)</f>
        <v>0.7</v>
      </c>
    </row>
    <row r="42" ht="15.75" customHeight="1">
      <c r="G42" s="17">
        <f>SUM(G41)</f>
        <v>0.7</v>
      </c>
    </row>
    <row r="43" ht="15.75" customHeight="1">
      <c r="B43" s="2" t="s">
        <v>60</v>
      </c>
    </row>
    <row r="44" ht="15.75" customHeight="1">
      <c r="A44" s="6" t="s">
        <v>62</v>
      </c>
      <c r="B44" s="6" t="s">
        <v>63</v>
      </c>
      <c r="C44" s="19" t="s">
        <v>64</v>
      </c>
      <c r="D44" s="21"/>
      <c r="E44" s="21">
        <v>3.0</v>
      </c>
      <c r="F44" s="20">
        <f>G39</f>
        <v>9.73</v>
      </c>
      <c r="G44" s="20">
        <f>ROUND(E44*F44, 2)/100</f>
        <v>0.2919</v>
      </c>
    </row>
    <row r="45" ht="15.75" customHeight="1">
      <c r="G45" s="17">
        <f>SUM(G44)</f>
        <v>0.2919</v>
      </c>
    </row>
    <row r="46" ht="15.75" customHeight="1"/>
    <row r="47" ht="15.75" customHeight="1"/>
    <row r="48" ht="15.75" customHeight="1">
      <c r="A48" s="2" t="s">
        <v>14</v>
      </c>
      <c r="B48" s="2" t="s">
        <v>117</v>
      </c>
      <c r="F48" s="2" t="s">
        <v>18</v>
      </c>
      <c r="G48" s="6" t="s">
        <v>19</v>
      </c>
    </row>
    <row r="49" ht="15.75" customHeight="1">
      <c r="A49" s="2" t="s">
        <v>20</v>
      </c>
      <c r="B49" s="6" t="s">
        <v>90</v>
      </c>
      <c r="D49" s="2" t="s">
        <v>23</v>
      </c>
      <c r="E49" s="12">
        <v>35.0</v>
      </c>
      <c r="F49" s="2" t="s">
        <v>25</v>
      </c>
      <c r="G49" s="17">
        <f>SUM(G54,G58,G62)</f>
        <v>29.081</v>
      </c>
    </row>
    <row r="50" ht="15.75" customHeight="1">
      <c r="A50" s="11" t="s">
        <v>33</v>
      </c>
      <c r="B50" s="13" t="s">
        <v>38</v>
      </c>
      <c r="C50" s="11" t="s">
        <v>37</v>
      </c>
      <c r="D50" s="14" t="s">
        <v>40</v>
      </c>
      <c r="E50" s="14" t="s">
        <v>39</v>
      </c>
      <c r="F50" s="14" t="s">
        <v>28</v>
      </c>
      <c r="G50" s="14" t="s">
        <v>29</v>
      </c>
    </row>
    <row r="51" ht="15.75" customHeight="1">
      <c r="B51" s="2" t="s">
        <v>43</v>
      </c>
    </row>
    <row r="52" ht="15.75" customHeight="1">
      <c r="A52" s="6" t="s">
        <v>44</v>
      </c>
      <c r="B52" s="6" t="s">
        <v>45</v>
      </c>
      <c r="C52" s="19" t="s">
        <v>47</v>
      </c>
      <c r="D52" s="21">
        <v>1.0</v>
      </c>
      <c r="E52" s="21">
        <f t="shared" ref="E52:E53" si="1">8*D52/$E$49</f>
        <v>0.2285714286</v>
      </c>
      <c r="F52" s="20">
        <v>29.9</v>
      </c>
      <c r="G52" s="20">
        <f t="shared" ref="G52:G53" si="2">ROUND(E52*F52, 2)</f>
        <v>6.83</v>
      </c>
    </row>
    <row r="53" ht="15.75" customHeight="1">
      <c r="A53" s="6" t="s">
        <v>46</v>
      </c>
      <c r="B53" s="6" t="s">
        <v>48</v>
      </c>
      <c r="C53" s="19" t="s">
        <v>47</v>
      </c>
      <c r="D53" s="21">
        <v>1.0</v>
      </c>
      <c r="E53" s="21">
        <f t="shared" si="1"/>
        <v>0.2285714286</v>
      </c>
      <c r="F53" s="20">
        <v>21.29</v>
      </c>
      <c r="G53" s="20">
        <f t="shared" si="2"/>
        <v>4.87</v>
      </c>
    </row>
    <row r="54" ht="15.75" customHeight="1">
      <c r="G54" s="17">
        <f>SUM(G52:G53)</f>
        <v>11.7</v>
      </c>
    </row>
    <row r="55" ht="15.75" customHeight="1">
      <c r="B55" s="2" t="s">
        <v>51</v>
      </c>
    </row>
    <row r="56" ht="15.75" customHeight="1">
      <c r="A56" s="6" t="s">
        <v>131</v>
      </c>
      <c r="B56" s="6" t="s">
        <v>133</v>
      </c>
      <c r="C56" s="19" t="s">
        <v>135</v>
      </c>
      <c r="D56" s="22"/>
      <c r="E56" s="21">
        <v>0.12</v>
      </c>
      <c r="F56" s="20">
        <v>57.0</v>
      </c>
      <c r="G56" s="20">
        <f t="shared" ref="G56:G57" si="3">ROUND(E56*F56, 2)</f>
        <v>6.84</v>
      </c>
    </row>
    <row r="57" ht="15.75" customHeight="1">
      <c r="A57" s="6" t="s">
        <v>137</v>
      </c>
      <c r="B57" s="6" t="s">
        <v>138</v>
      </c>
      <c r="C57" s="19" t="s">
        <v>135</v>
      </c>
      <c r="D57" s="22"/>
      <c r="E57" s="21">
        <v>0.03</v>
      </c>
      <c r="F57" s="20">
        <v>35.0</v>
      </c>
      <c r="G57" s="20">
        <f t="shared" si="3"/>
        <v>1.05</v>
      </c>
    </row>
    <row r="58" ht="15.75" customHeight="1">
      <c r="G58" s="17">
        <f>SUM(G56:G57)</f>
        <v>7.89</v>
      </c>
    </row>
    <row r="59" ht="15.75" customHeight="1">
      <c r="B59" s="2" t="s">
        <v>60</v>
      </c>
    </row>
    <row r="60" ht="15.75" customHeight="1">
      <c r="A60" s="6" t="s">
        <v>62</v>
      </c>
      <c r="B60" s="6" t="s">
        <v>63</v>
      </c>
      <c r="C60" s="19" t="s">
        <v>64</v>
      </c>
      <c r="D60" s="21"/>
      <c r="E60" s="21">
        <v>3.0</v>
      </c>
      <c r="F60" s="20">
        <f>G54</f>
        <v>11.7</v>
      </c>
      <c r="G60" s="20">
        <f>ROUND(E60*F60, 2)/100</f>
        <v>0.351</v>
      </c>
    </row>
    <row r="61" ht="15.75" customHeight="1">
      <c r="A61" s="6" t="s">
        <v>143</v>
      </c>
      <c r="B61" s="6" t="s">
        <v>144</v>
      </c>
      <c r="C61" s="19" t="s">
        <v>145</v>
      </c>
      <c r="D61" s="21">
        <v>2.0</v>
      </c>
      <c r="E61" s="21">
        <f>8*D61/$E$49</f>
        <v>0.4571428571</v>
      </c>
      <c r="F61" s="28">
        <v>20.0</v>
      </c>
      <c r="G61" s="20">
        <f>ROUND(E61*F61, 2)</f>
        <v>9.14</v>
      </c>
    </row>
    <row r="62" ht="15.75" customHeight="1">
      <c r="G62" s="17">
        <f>SUM(G60:G61)</f>
        <v>9.491</v>
      </c>
    </row>
    <row r="63" ht="15.75" customHeight="1"/>
    <row r="64" ht="15.75" customHeight="1"/>
    <row r="65" ht="15.75" customHeight="1">
      <c r="A65" s="2" t="s">
        <v>14</v>
      </c>
      <c r="B65" s="2" t="s">
        <v>150</v>
      </c>
      <c r="F65" s="2" t="s">
        <v>18</v>
      </c>
      <c r="G65" s="6" t="s">
        <v>19</v>
      </c>
    </row>
    <row r="66" ht="15.75" customHeight="1">
      <c r="A66" s="2" t="s">
        <v>20</v>
      </c>
      <c r="B66" s="6" t="s">
        <v>90</v>
      </c>
      <c r="D66" s="2" t="s">
        <v>23</v>
      </c>
      <c r="E66" s="12">
        <v>35.0</v>
      </c>
      <c r="F66" s="2" t="s">
        <v>25</v>
      </c>
      <c r="G66" s="17">
        <f>SUM(G71,G75,G79)</f>
        <v>25.081</v>
      </c>
    </row>
    <row r="67" ht="15.75" customHeight="1">
      <c r="A67" s="11" t="s">
        <v>33</v>
      </c>
      <c r="B67" s="13" t="s">
        <v>38</v>
      </c>
      <c r="C67" s="11" t="s">
        <v>37</v>
      </c>
      <c r="D67" s="14" t="s">
        <v>40</v>
      </c>
      <c r="E67" s="14" t="s">
        <v>39</v>
      </c>
      <c r="F67" s="14" t="s">
        <v>28</v>
      </c>
      <c r="G67" s="14" t="s">
        <v>29</v>
      </c>
    </row>
    <row r="68" ht="15.75" customHeight="1">
      <c r="B68" s="2" t="s">
        <v>43</v>
      </c>
    </row>
    <row r="69" ht="15.75" customHeight="1">
      <c r="A69" s="6" t="s">
        <v>44</v>
      </c>
      <c r="B69" s="6" t="s">
        <v>45</v>
      </c>
      <c r="C69" s="19" t="s">
        <v>47</v>
      </c>
      <c r="D69" s="21">
        <v>1.0</v>
      </c>
      <c r="E69" s="21">
        <f t="shared" ref="E69:E70" si="4">8*D69/$E$66</f>
        <v>0.2285714286</v>
      </c>
      <c r="F69" s="20">
        <v>29.9</v>
      </c>
      <c r="G69" s="20">
        <f t="shared" ref="G69:G70" si="5">ROUND(E69*F69, 2)</f>
        <v>6.83</v>
      </c>
    </row>
    <row r="70" ht="15.75" customHeight="1">
      <c r="A70" s="6" t="s">
        <v>46</v>
      </c>
      <c r="B70" s="6" t="s">
        <v>48</v>
      </c>
      <c r="C70" s="19" t="s">
        <v>47</v>
      </c>
      <c r="D70" s="21">
        <v>1.0</v>
      </c>
      <c r="E70" s="21">
        <f t="shared" si="4"/>
        <v>0.2285714286</v>
      </c>
      <c r="F70" s="20">
        <v>21.29</v>
      </c>
      <c r="G70" s="20">
        <f t="shared" si="5"/>
        <v>4.87</v>
      </c>
    </row>
    <row r="71" ht="15.75" customHeight="1">
      <c r="G71" s="17">
        <f>SUM(G69:G70)</f>
        <v>11.7</v>
      </c>
    </row>
    <row r="72" ht="15.75" customHeight="1">
      <c r="B72" s="2" t="s">
        <v>51</v>
      </c>
    </row>
    <row r="73" ht="15.75" customHeight="1">
      <c r="A73" s="6" t="s">
        <v>137</v>
      </c>
      <c r="B73" s="6" t="s">
        <v>138</v>
      </c>
      <c r="C73" s="19" t="s">
        <v>135</v>
      </c>
      <c r="D73" s="22"/>
      <c r="E73" s="21">
        <v>0.03</v>
      </c>
      <c r="F73" s="20">
        <v>35.0</v>
      </c>
      <c r="G73" s="20">
        <f t="shared" ref="G73:G74" si="6">ROUND(E73*F73, 2)</f>
        <v>1.05</v>
      </c>
    </row>
    <row r="74" ht="15.75" customHeight="1">
      <c r="A74" s="6" t="s">
        <v>131</v>
      </c>
      <c r="B74" s="6" t="s">
        <v>133</v>
      </c>
      <c r="C74" s="19" t="s">
        <v>135</v>
      </c>
      <c r="D74" s="22"/>
      <c r="E74" s="21">
        <v>0.13</v>
      </c>
      <c r="F74" s="20">
        <v>57.0</v>
      </c>
      <c r="G74" s="20">
        <f t="shared" si="6"/>
        <v>7.41</v>
      </c>
    </row>
    <row r="75" ht="15.75" customHeight="1">
      <c r="G75" s="17">
        <f>SUM(G73:G74)</f>
        <v>8.46</v>
      </c>
    </row>
    <row r="76" ht="15.75" customHeight="1">
      <c r="B76" s="2" t="s">
        <v>60</v>
      </c>
    </row>
    <row r="77" ht="15.75" customHeight="1">
      <c r="A77" s="6" t="s">
        <v>62</v>
      </c>
      <c r="B77" s="6" t="s">
        <v>63</v>
      </c>
      <c r="C77" s="19" t="s">
        <v>64</v>
      </c>
      <c r="D77" s="21"/>
      <c r="E77" s="21">
        <v>3.0</v>
      </c>
      <c r="F77" s="20">
        <f>G71</f>
        <v>11.7</v>
      </c>
      <c r="G77" s="20">
        <f>ROUND(E77*F77, 2)/100</f>
        <v>0.351</v>
      </c>
    </row>
    <row r="78" ht="15.75" customHeight="1">
      <c r="A78" s="6" t="s">
        <v>143</v>
      </c>
      <c r="B78" s="6" t="s">
        <v>144</v>
      </c>
      <c r="C78" s="19" t="s">
        <v>145</v>
      </c>
      <c r="D78" s="21">
        <v>1.0</v>
      </c>
      <c r="E78" s="21">
        <f>8*D78/$E$66</f>
        <v>0.2285714286</v>
      </c>
      <c r="F78" s="28">
        <v>20.0</v>
      </c>
      <c r="G78" s="20">
        <f>ROUND(E78*F78, 2)</f>
        <v>4.57</v>
      </c>
    </row>
    <row r="79" ht="15.75" customHeight="1">
      <c r="G79" s="17">
        <f>SUM(G77:G78)</f>
        <v>4.921</v>
      </c>
    </row>
    <row r="80" ht="15.75" customHeight="1"/>
    <row r="81" ht="15.75" customHeight="1"/>
    <row r="82" ht="15.75" customHeight="1">
      <c r="A82" s="2" t="s">
        <v>14</v>
      </c>
      <c r="B82" s="2" t="s">
        <v>167</v>
      </c>
      <c r="F82" s="2" t="s">
        <v>18</v>
      </c>
      <c r="G82" s="6" t="s">
        <v>19</v>
      </c>
    </row>
    <row r="83" ht="15.75" customHeight="1">
      <c r="A83" s="2" t="s">
        <v>20</v>
      </c>
      <c r="B83" s="6" t="s">
        <v>168</v>
      </c>
      <c r="D83" s="2" t="s">
        <v>23</v>
      </c>
      <c r="E83" s="6" t="s">
        <v>169</v>
      </c>
      <c r="F83" s="2" t="s">
        <v>25</v>
      </c>
      <c r="G83" s="17">
        <f>SUM(G88,G92,G96)</f>
        <v>27.2795</v>
      </c>
    </row>
    <row r="84" ht="15.75" customHeight="1">
      <c r="A84" s="11" t="s">
        <v>33</v>
      </c>
      <c r="B84" s="13" t="s">
        <v>38</v>
      </c>
      <c r="C84" s="11" t="s">
        <v>37</v>
      </c>
      <c r="D84" s="14" t="s">
        <v>40</v>
      </c>
      <c r="E84" s="14" t="s">
        <v>39</v>
      </c>
      <c r="F84" s="14" t="s">
        <v>28</v>
      </c>
      <c r="G84" s="14" t="s">
        <v>29</v>
      </c>
    </row>
    <row r="85" ht="15.75" customHeight="1">
      <c r="B85" s="2" t="s">
        <v>43</v>
      </c>
    </row>
    <row r="86" ht="15.75" customHeight="1">
      <c r="A86" s="6" t="s">
        <v>44</v>
      </c>
      <c r="B86" s="6" t="s">
        <v>45</v>
      </c>
      <c r="C86" s="19" t="s">
        <v>47</v>
      </c>
      <c r="D86" s="21">
        <v>1.0</v>
      </c>
      <c r="E86" s="21">
        <f t="shared" ref="E86:E87" si="7">8*D86/$E$83</f>
        <v>0.2666666667</v>
      </c>
      <c r="F86" s="20">
        <v>29.9</v>
      </c>
      <c r="G86" s="20">
        <f t="shared" ref="G86:G87" si="8">ROUND(E86*F86, 2)</f>
        <v>7.97</v>
      </c>
    </row>
    <row r="87" ht="15.75" customHeight="1">
      <c r="A87" s="6" t="s">
        <v>46</v>
      </c>
      <c r="B87" s="6" t="s">
        <v>48</v>
      </c>
      <c r="C87" s="19" t="s">
        <v>47</v>
      </c>
      <c r="D87" s="21">
        <v>1.0</v>
      </c>
      <c r="E87" s="21">
        <f t="shared" si="7"/>
        <v>0.2666666667</v>
      </c>
      <c r="F87" s="20">
        <v>21.29</v>
      </c>
      <c r="G87" s="20">
        <f t="shared" si="8"/>
        <v>5.68</v>
      </c>
    </row>
    <row r="88" ht="15.75" customHeight="1">
      <c r="G88" s="17">
        <f>SUM(G86:G87)</f>
        <v>13.65</v>
      </c>
    </row>
    <row r="89" ht="15.75" customHeight="1">
      <c r="B89" s="2" t="s">
        <v>51</v>
      </c>
    </row>
    <row r="90" ht="15.75" customHeight="1">
      <c r="A90" s="6" t="s">
        <v>137</v>
      </c>
      <c r="B90" s="6" t="s">
        <v>138</v>
      </c>
      <c r="C90" s="19" t="s">
        <v>135</v>
      </c>
      <c r="D90" s="22"/>
      <c r="E90" s="21">
        <v>0.03</v>
      </c>
      <c r="F90" s="20">
        <v>35.0</v>
      </c>
      <c r="G90" s="20">
        <f t="shared" ref="G90:G91" si="9">ROUND(E90*F90, 2)</f>
        <v>1.05</v>
      </c>
    </row>
    <row r="91" ht="15.75" customHeight="1">
      <c r="A91" s="6" t="s">
        <v>180</v>
      </c>
      <c r="B91" s="6" t="s">
        <v>133</v>
      </c>
      <c r="C91" s="19" t="s">
        <v>135</v>
      </c>
      <c r="D91" s="22"/>
      <c r="E91" s="21">
        <v>0.12</v>
      </c>
      <c r="F91" s="20">
        <v>57.0</v>
      </c>
      <c r="G91" s="20">
        <f t="shared" si="9"/>
        <v>6.84</v>
      </c>
    </row>
    <row r="92" ht="15.75" customHeight="1">
      <c r="G92" s="17">
        <f>SUM(G90:G91)</f>
        <v>7.89</v>
      </c>
    </row>
    <row r="93" ht="15.75" customHeight="1">
      <c r="B93" s="2" t="s">
        <v>60</v>
      </c>
    </row>
    <row r="94" ht="15.75" customHeight="1">
      <c r="A94" s="6" t="s">
        <v>62</v>
      </c>
      <c r="B94" s="6" t="s">
        <v>63</v>
      </c>
      <c r="C94" s="19" t="s">
        <v>64</v>
      </c>
      <c r="D94" s="21"/>
      <c r="E94" s="21">
        <v>3.0</v>
      </c>
      <c r="F94" s="20">
        <f>G88</f>
        <v>13.65</v>
      </c>
      <c r="G94" s="20">
        <f>ROUND(E94*F94, 2)/100</f>
        <v>0.4095</v>
      </c>
    </row>
    <row r="95" ht="15.75" customHeight="1">
      <c r="A95" s="6" t="s">
        <v>143</v>
      </c>
      <c r="B95" s="6" t="s">
        <v>144</v>
      </c>
      <c r="C95" s="19" t="s">
        <v>145</v>
      </c>
      <c r="D95" s="21">
        <v>1.0</v>
      </c>
      <c r="E95" s="21">
        <f>8*D95/$E$83</f>
        <v>0.2666666667</v>
      </c>
      <c r="F95" s="28">
        <v>20.0</v>
      </c>
      <c r="G95" s="20">
        <f>ROUND(E95*F95, 2)</f>
        <v>5.33</v>
      </c>
    </row>
    <row r="96" ht="15.75" customHeight="1">
      <c r="G96" s="17">
        <f>SUM(G94:G95)</f>
        <v>5.7395</v>
      </c>
    </row>
    <row r="97" ht="15.75" customHeight="1"/>
    <row r="98" ht="15.75" customHeight="1"/>
    <row r="99" ht="15.75" customHeight="1">
      <c r="A99" s="2" t="s">
        <v>14</v>
      </c>
      <c r="B99" s="2" t="s">
        <v>184</v>
      </c>
      <c r="F99" s="2" t="s">
        <v>18</v>
      </c>
      <c r="G99" s="6" t="s">
        <v>19</v>
      </c>
    </row>
    <row r="100" ht="15.75" customHeight="1">
      <c r="A100" s="2" t="s">
        <v>20</v>
      </c>
      <c r="B100" s="6" t="s">
        <v>22</v>
      </c>
      <c r="D100" s="2" t="s">
        <v>23</v>
      </c>
      <c r="E100" s="12">
        <v>20.0</v>
      </c>
      <c r="F100" s="2" t="s">
        <v>25</v>
      </c>
      <c r="G100" s="17">
        <f>SUM(G105,G108,G111)</f>
        <v>11.2349</v>
      </c>
    </row>
    <row r="101" ht="15.75" customHeight="1">
      <c r="A101" s="11" t="s">
        <v>33</v>
      </c>
      <c r="B101" s="13" t="s">
        <v>38</v>
      </c>
      <c r="C101" s="11" t="s">
        <v>37</v>
      </c>
      <c r="D101" s="14" t="s">
        <v>40</v>
      </c>
      <c r="E101" s="14" t="s">
        <v>39</v>
      </c>
      <c r="F101" s="14" t="s">
        <v>28</v>
      </c>
      <c r="G101" s="14" t="s">
        <v>29</v>
      </c>
    </row>
    <row r="102" ht="15.75" customHeight="1">
      <c r="B102" s="2" t="s">
        <v>43</v>
      </c>
    </row>
    <row r="103" ht="15.75" customHeight="1">
      <c r="A103" s="6" t="s">
        <v>44</v>
      </c>
      <c r="B103" s="6" t="s">
        <v>45</v>
      </c>
      <c r="C103" s="19" t="s">
        <v>47</v>
      </c>
      <c r="D103" s="21">
        <v>0.5</v>
      </c>
      <c r="E103" s="21">
        <f t="shared" ref="E103:E104" si="10">8*D103/$E$100</f>
        <v>0.2</v>
      </c>
      <c r="F103" s="20">
        <v>29.9</v>
      </c>
      <c r="G103" s="20">
        <f t="shared" ref="G103:G104" si="11">ROUND(E103*F103, 2)</f>
        <v>5.98</v>
      </c>
    </row>
    <row r="104" ht="15.75" customHeight="1">
      <c r="A104" s="6" t="s">
        <v>46</v>
      </c>
      <c r="B104" s="6" t="s">
        <v>48</v>
      </c>
      <c r="C104" s="19" t="s">
        <v>47</v>
      </c>
      <c r="D104" s="21">
        <v>0.1</v>
      </c>
      <c r="E104" s="21">
        <f t="shared" si="10"/>
        <v>0.04</v>
      </c>
      <c r="F104" s="20">
        <v>21.29</v>
      </c>
      <c r="G104" s="20">
        <f t="shared" si="11"/>
        <v>0.85</v>
      </c>
    </row>
    <row r="105" ht="15.75" customHeight="1">
      <c r="G105" s="17">
        <f>SUM(G103:G104)</f>
        <v>6.83</v>
      </c>
    </row>
    <row r="106" ht="15.75" customHeight="1">
      <c r="B106" s="2" t="s">
        <v>51</v>
      </c>
    </row>
    <row r="107" ht="15.75" customHeight="1">
      <c r="A107" s="6" t="s">
        <v>177</v>
      </c>
      <c r="B107" s="6" t="s">
        <v>178</v>
      </c>
      <c r="C107" s="19" t="s">
        <v>179</v>
      </c>
      <c r="D107" s="22"/>
      <c r="E107" s="21">
        <v>1.5</v>
      </c>
      <c r="F107" s="20">
        <v>2.8</v>
      </c>
      <c r="G107" s="20">
        <f>ROUND(E107*F107, 2)</f>
        <v>4.2</v>
      </c>
    </row>
    <row r="108" ht="15.75" customHeight="1">
      <c r="G108" s="17">
        <f>SUM(G107)</f>
        <v>4.2</v>
      </c>
    </row>
    <row r="109" ht="15.75" customHeight="1">
      <c r="B109" s="2" t="s">
        <v>60</v>
      </c>
    </row>
    <row r="110" ht="15.75" customHeight="1">
      <c r="A110" s="6" t="s">
        <v>62</v>
      </c>
      <c r="B110" s="6" t="s">
        <v>63</v>
      </c>
      <c r="C110" s="19" t="s">
        <v>64</v>
      </c>
      <c r="D110" s="21"/>
      <c r="E110" s="21">
        <v>3.0</v>
      </c>
      <c r="F110" s="20">
        <f>G105</f>
        <v>6.83</v>
      </c>
      <c r="G110" s="20">
        <f>ROUND(E110*F110, 2)/100</f>
        <v>0.2049</v>
      </c>
    </row>
    <row r="111" ht="15.75" customHeight="1">
      <c r="G111" s="17">
        <f>SUM(G110)</f>
        <v>0.2049</v>
      </c>
    </row>
    <row r="112" ht="15.75" customHeight="1"/>
    <row r="113" ht="15.75" customHeight="1"/>
    <row r="114" ht="15.75" customHeight="1">
      <c r="A114" s="2" t="s">
        <v>14</v>
      </c>
      <c r="B114" s="2" t="s">
        <v>196</v>
      </c>
      <c r="F114" s="2" t="s">
        <v>18</v>
      </c>
      <c r="G114" s="6" t="s">
        <v>19</v>
      </c>
    </row>
    <row r="115" ht="15.75" customHeight="1">
      <c r="A115" s="2" t="s">
        <v>20</v>
      </c>
      <c r="B115" s="6" t="s">
        <v>197</v>
      </c>
      <c r="D115" s="2" t="s">
        <v>23</v>
      </c>
      <c r="E115" s="6" t="s">
        <v>198</v>
      </c>
      <c r="F115" s="2" t="s">
        <v>25</v>
      </c>
      <c r="G115" s="17">
        <f>SUM(G119,G125,G128)</f>
        <v>22.1405</v>
      </c>
    </row>
    <row r="116" ht="15.75" customHeight="1">
      <c r="A116" s="11" t="s">
        <v>33</v>
      </c>
      <c r="B116" s="13" t="s">
        <v>38</v>
      </c>
      <c r="C116" s="11" t="s">
        <v>37</v>
      </c>
      <c r="D116" s="14" t="s">
        <v>40</v>
      </c>
      <c r="E116" s="14" t="s">
        <v>39</v>
      </c>
      <c r="F116" s="14" t="s">
        <v>28</v>
      </c>
      <c r="G116" s="14" t="s">
        <v>29</v>
      </c>
    </row>
    <row r="117" ht="15.75" customHeight="1">
      <c r="B117" s="2" t="s">
        <v>43</v>
      </c>
    </row>
    <row r="118" ht="15.75" customHeight="1">
      <c r="A118" s="6" t="s">
        <v>46</v>
      </c>
      <c r="B118" s="6" t="s">
        <v>48</v>
      </c>
      <c r="C118" s="19" t="s">
        <v>47</v>
      </c>
      <c r="D118" s="21">
        <v>1.0</v>
      </c>
      <c r="E118" s="21">
        <f>8*D118/$E$115</f>
        <v>0.5333333333</v>
      </c>
      <c r="F118" s="20">
        <v>21.2826</v>
      </c>
      <c r="G118" s="20">
        <f>ROUND(E118*F118, 2)</f>
        <v>11.35</v>
      </c>
    </row>
    <row r="119" ht="15.75" customHeight="1">
      <c r="G119" s="17">
        <f>SUM(G118)</f>
        <v>11.35</v>
      </c>
    </row>
    <row r="120" ht="15.75" customHeight="1">
      <c r="B120" s="2" t="s">
        <v>51</v>
      </c>
    </row>
    <row r="121" ht="15.75" customHeight="1">
      <c r="A121" s="6" t="s">
        <v>181</v>
      </c>
      <c r="B121" s="6" t="s">
        <v>182</v>
      </c>
      <c r="C121" s="19" t="s">
        <v>183</v>
      </c>
      <c r="D121" s="22"/>
      <c r="E121" s="21">
        <v>0.05</v>
      </c>
      <c r="F121" s="20">
        <v>8.0</v>
      </c>
      <c r="G121" s="20">
        <f t="shared" ref="G121:G124" si="12">ROUND(E121*F121, 2)</f>
        <v>0.4</v>
      </c>
    </row>
    <row r="122" ht="15.75" customHeight="1">
      <c r="A122" s="6" t="s">
        <v>203</v>
      </c>
      <c r="B122" s="6" t="s">
        <v>204</v>
      </c>
      <c r="C122" s="19" t="s">
        <v>135</v>
      </c>
      <c r="D122" s="22"/>
      <c r="E122" s="21">
        <v>0.025</v>
      </c>
      <c r="F122" s="20">
        <v>18.0</v>
      </c>
      <c r="G122" s="20">
        <f t="shared" si="12"/>
        <v>0.45</v>
      </c>
    </row>
    <row r="123" ht="15.75" customHeight="1">
      <c r="A123" s="6" t="s">
        <v>205</v>
      </c>
      <c r="B123" s="6" t="s">
        <v>206</v>
      </c>
      <c r="C123" s="19" t="s">
        <v>56</v>
      </c>
      <c r="D123" s="22"/>
      <c r="E123" s="21">
        <v>0.1</v>
      </c>
      <c r="F123" s="20">
        <v>12.0</v>
      </c>
      <c r="G123" s="20">
        <f t="shared" si="12"/>
        <v>1.2</v>
      </c>
    </row>
    <row r="124" ht="15.75" customHeight="1">
      <c r="A124" s="6" t="s">
        <v>207</v>
      </c>
      <c r="B124" s="6" t="s">
        <v>208</v>
      </c>
      <c r="C124" s="19" t="s">
        <v>135</v>
      </c>
      <c r="D124" s="22"/>
      <c r="E124" s="21">
        <v>0.12</v>
      </c>
      <c r="F124" s="20">
        <v>70.0</v>
      </c>
      <c r="G124" s="20">
        <f t="shared" si="12"/>
        <v>8.4</v>
      </c>
    </row>
    <row r="125" ht="15.75" customHeight="1">
      <c r="G125" s="17">
        <f>SUM(G121:G124)</f>
        <v>10.45</v>
      </c>
    </row>
    <row r="126" ht="15.75" customHeight="1">
      <c r="B126" s="2" t="s">
        <v>60</v>
      </c>
    </row>
    <row r="127" ht="15.75" customHeight="1">
      <c r="A127" s="6" t="s">
        <v>62</v>
      </c>
      <c r="B127" s="6" t="s">
        <v>63</v>
      </c>
      <c r="C127" s="19" t="s">
        <v>64</v>
      </c>
      <c r="D127" s="21"/>
      <c r="E127" s="21">
        <v>3.0</v>
      </c>
      <c r="F127" s="20">
        <f>G119</f>
        <v>11.35</v>
      </c>
      <c r="G127" s="20">
        <f>ROUND(E127*F127, 2)/100</f>
        <v>0.3405</v>
      </c>
    </row>
    <row r="128" ht="15.75" customHeight="1">
      <c r="G128" s="17">
        <f>SUM(G127)</f>
        <v>0.3405</v>
      </c>
    </row>
    <row r="129" ht="15.75" customHeight="1"/>
    <row r="130" ht="15.75" customHeight="1"/>
    <row r="131" ht="15.75" customHeight="1">
      <c r="A131" s="2" t="s">
        <v>14</v>
      </c>
      <c r="B131" s="2" t="s">
        <v>209</v>
      </c>
      <c r="F131" s="2" t="s">
        <v>18</v>
      </c>
      <c r="G131" s="6" t="s">
        <v>88</v>
      </c>
    </row>
    <row r="132" ht="15.75" customHeight="1">
      <c r="A132" s="2" t="s">
        <v>20</v>
      </c>
      <c r="B132" s="6" t="s">
        <v>210</v>
      </c>
      <c r="D132" s="2" t="s">
        <v>23</v>
      </c>
      <c r="E132" s="12">
        <v>1.0</v>
      </c>
      <c r="F132" s="2" t="s">
        <v>25</v>
      </c>
      <c r="G132" s="17">
        <f>SUM(G169)</f>
        <v>2415.8</v>
      </c>
    </row>
    <row r="133" ht="15.75" customHeight="1">
      <c r="A133" s="11" t="s">
        <v>33</v>
      </c>
      <c r="B133" s="13" t="s">
        <v>38</v>
      </c>
      <c r="C133" s="11" t="s">
        <v>37</v>
      </c>
      <c r="D133" s="14" t="s">
        <v>40</v>
      </c>
      <c r="E133" s="14" t="s">
        <v>39</v>
      </c>
      <c r="F133" s="14" t="s">
        <v>28</v>
      </c>
      <c r="G133" s="14" t="s">
        <v>29</v>
      </c>
    </row>
    <row r="134" ht="15.75" customHeight="1">
      <c r="B134" s="2" t="s">
        <v>51</v>
      </c>
    </row>
    <row r="135" ht="15.75" customHeight="1">
      <c r="A135" s="29">
        <v>2.39070004E8</v>
      </c>
      <c r="B135" s="6" t="s">
        <v>142</v>
      </c>
      <c r="C135" s="19" t="s">
        <v>136</v>
      </c>
      <c r="D135" s="22"/>
      <c r="E135" s="21">
        <v>2.0</v>
      </c>
      <c r="F135" s="20">
        <v>34.9</v>
      </c>
      <c r="G135" s="20">
        <f t="shared" ref="G135:G168" si="13">ROUND(E135*F135, 2)</f>
        <v>69.8</v>
      </c>
    </row>
    <row r="136" ht="15.75" customHeight="1">
      <c r="A136" s="29">
        <v>2.39070005E8</v>
      </c>
      <c r="B136" s="6" t="s">
        <v>191</v>
      </c>
      <c r="C136" s="19" t="s">
        <v>56</v>
      </c>
      <c r="D136" s="22"/>
      <c r="E136" s="21">
        <v>1.0</v>
      </c>
      <c r="F136" s="20">
        <v>27.9</v>
      </c>
      <c r="G136" s="20">
        <f t="shared" si="13"/>
        <v>27.9</v>
      </c>
    </row>
    <row r="137" ht="15.75" customHeight="1">
      <c r="A137" s="29">
        <v>2.3916001E8</v>
      </c>
      <c r="B137" s="6" t="s">
        <v>193</v>
      </c>
      <c r="C137" s="19" t="s">
        <v>56</v>
      </c>
      <c r="D137" s="22"/>
      <c r="E137" s="21">
        <v>1.0</v>
      </c>
      <c r="F137" s="20">
        <v>20.0</v>
      </c>
      <c r="G137" s="20">
        <f t="shared" si="13"/>
        <v>20</v>
      </c>
    </row>
    <row r="138" ht="15.75" customHeight="1">
      <c r="A138" s="29">
        <v>2.39990058E8</v>
      </c>
      <c r="B138" s="6" t="s">
        <v>195</v>
      </c>
      <c r="C138" s="19" t="s">
        <v>56</v>
      </c>
      <c r="D138" s="22"/>
      <c r="E138" s="21">
        <v>1.0</v>
      </c>
      <c r="F138" s="20">
        <v>54.0</v>
      </c>
      <c r="G138" s="20">
        <f t="shared" si="13"/>
        <v>54</v>
      </c>
    </row>
    <row r="139" ht="15.75" customHeight="1">
      <c r="A139" s="29">
        <v>2.39990059E8</v>
      </c>
      <c r="B139" s="6" t="s">
        <v>200</v>
      </c>
      <c r="C139" s="19" t="s">
        <v>56</v>
      </c>
      <c r="D139" s="22"/>
      <c r="E139" s="21">
        <v>1.0</v>
      </c>
      <c r="F139" s="20">
        <v>210.0</v>
      </c>
      <c r="G139" s="20">
        <f t="shared" si="13"/>
        <v>210</v>
      </c>
    </row>
    <row r="140" ht="15.75" customHeight="1">
      <c r="A140" s="29">
        <v>2.3999006E8</v>
      </c>
      <c r="B140" s="6" t="s">
        <v>202</v>
      </c>
      <c r="C140" s="19" t="s">
        <v>56</v>
      </c>
      <c r="D140" s="22"/>
      <c r="E140" s="21">
        <v>2.0</v>
      </c>
      <c r="F140" s="20">
        <v>4.9</v>
      </c>
      <c r="G140" s="20">
        <f t="shared" si="13"/>
        <v>9.8</v>
      </c>
    </row>
    <row r="141" ht="15.75" customHeight="1">
      <c r="A141" s="29">
        <v>2.56990022E8</v>
      </c>
      <c r="B141" s="6" t="s">
        <v>212</v>
      </c>
      <c r="C141" s="19" t="s">
        <v>56</v>
      </c>
      <c r="D141" s="22"/>
      <c r="E141" s="21">
        <v>1.0</v>
      </c>
      <c r="F141" s="20">
        <v>50.0</v>
      </c>
      <c r="G141" s="20">
        <f t="shared" si="13"/>
        <v>50</v>
      </c>
    </row>
    <row r="142" ht="15.75" customHeight="1">
      <c r="A142" s="29">
        <v>2.01020068E8</v>
      </c>
      <c r="B142" s="6" t="s">
        <v>79</v>
      </c>
      <c r="C142" s="19" t="s">
        <v>56</v>
      </c>
      <c r="D142" s="22"/>
      <c r="E142" s="21">
        <v>1.0</v>
      </c>
      <c r="F142" s="20">
        <v>10.0</v>
      </c>
      <c r="G142" s="20">
        <f t="shared" si="13"/>
        <v>10</v>
      </c>
    </row>
    <row r="143" ht="15.75" customHeight="1">
      <c r="A143" s="29">
        <v>2.05010034E8</v>
      </c>
      <c r="B143" s="6" t="s">
        <v>85</v>
      </c>
      <c r="C143" s="19" t="s">
        <v>56</v>
      </c>
      <c r="D143" s="22"/>
      <c r="E143" s="21">
        <v>2.0</v>
      </c>
      <c r="F143" s="20">
        <v>15.0</v>
      </c>
      <c r="G143" s="20">
        <f t="shared" si="13"/>
        <v>30</v>
      </c>
    </row>
    <row r="144" ht="15.75" customHeight="1">
      <c r="A144" s="29">
        <v>2.07020017E8</v>
      </c>
      <c r="B144" s="6" t="s">
        <v>94</v>
      </c>
      <c r="C144" s="19" t="s">
        <v>56</v>
      </c>
      <c r="D144" s="22"/>
      <c r="E144" s="21">
        <v>1.0</v>
      </c>
      <c r="F144" s="20">
        <v>12.5</v>
      </c>
      <c r="G144" s="20">
        <f t="shared" si="13"/>
        <v>12.5</v>
      </c>
    </row>
    <row r="145" ht="15.75" customHeight="1">
      <c r="A145" s="29">
        <v>2.07020018E8</v>
      </c>
      <c r="B145" s="6" t="s">
        <v>98</v>
      </c>
      <c r="C145" s="19" t="s">
        <v>56</v>
      </c>
      <c r="D145" s="22"/>
      <c r="E145" s="21">
        <v>1.0</v>
      </c>
      <c r="F145" s="20">
        <v>45.0</v>
      </c>
      <c r="G145" s="20">
        <f t="shared" si="13"/>
        <v>45</v>
      </c>
    </row>
    <row r="146" ht="15.75" customHeight="1">
      <c r="A146" s="29">
        <v>2.07020019E8</v>
      </c>
      <c r="B146" s="6" t="s">
        <v>104</v>
      </c>
      <c r="C146" s="19" t="s">
        <v>56</v>
      </c>
      <c r="D146" s="22"/>
      <c r="E146" s="21">
        <v>1.0</v>
      </c>
      <c r="F146" s="20">
        <v>184.9</v>
      </c>
      <c r="G146" s="20">
        <f t="shared" si="13"/>
        <v>184.9</v>
      </c>
    </row>
    <row r="147" ht="15.75" customHeight="1">
      <c r="A147" s="29">
        <v>2.0702002E8</v>
      </c>
      <c r="B147" s="6" t="s">
        <v>108</v>
      </c>
      <c r="C147" s="19" t="s">
        <v>56</v>
      </c>
      <c r="D147" s="22"/>
      <c r="E147" s="21">
        <v>1.0</v>
      </c>
      <c r="F147" s="20">
        <v>20.0</v>
      </c>
      <c r="G147" s="20">
        <f t="shared" si="13"/>
        <v>20</v>
      </c>
    </row>
    <row r="148" ht="15.75" customHeight="1">
      <c r="A148" s="29">
        <v>2.07020021E8</v>
      </c>
      <c r="B148" s="6" t="s">
        <v>112</v>
      </c>
      <c r="C148" s="19" t="s">
        <v>56</v>
      </c>
      <c r="D148" s="22"/>
      <c r="E148" s="21">
        <v>2.0</v>
      </c>
      <c r="F148" s="20">
        <v>83.7</v>
      </c>
      <c r="G148" s="20">
        <f t="shared" si="13"/>
        <v>167.4</v>
      </c>
    </row>
    <row r="149" ht="15.75" customHeight="1">
      <c r="A149" s="29">
        <v>2.07020022E8</v>
      </c>
      <c r="B149" s="6" t="s">
        <v>116</v>
      </c>
      <c r="C149" s="19" t="s">
        <v>56</v>
      </c>
      <c r="D149" s="22"/>
      <c r="E149" s="21">
        <v>1.0</v>
      </c>
      <c r="F149" s="20">
        <v>31.5</v>
      </c>
      <c r="G149" s="20">
        <f t="shared" si="13"/>
        <v>31.5</v>
      </c>
    </row>
    <row r="150" ht="15.75" customHeight="1">
      <c r="A150" s="29">
        <v>2.07020023E8</v>
      </c>
      <c r="B150" s="6" t="s">
        <v>120</v>
      </c>
      <c r="C150" s="19" t="s">
        <v>56</v>
      </c>
      <c r="D150" s="22"/>
      <c r="E150" s="21">
        <v>1.0</v>
      </c>
      <c r="F150" s="20">
        <v>44.9</v>
      </c>
      <c r="G150" s="20">
        <f t="shared" si="13"/>
        <v>44.9</v>
      </c>
    </row>
    <row r="151" ht="15.75" customHeight="1">
      <c r="A151" s="29">
        <v>2.07020024E8</v>
      </c>
      <c r="B151" s="6" t="s">
        <v>123</v>
      </c>
      <c r="C151" s="19" t="s">
        <v>56</v>
      </c>
      <c r="D151" s="22"/>
      <c r="E151" s="21">
        <v>1.0</v>
      </c>
      <c r="F151" s="20">
        <v>19.9</v>
      </c>
      <c r="G151" s="20">
        <f t="shared" si="13"/>
        <v>19.9</v>
      </c>
    </row>
    <row r="152" ht="15.75" customHeight="1">
      <c r="A152" s="29">
        <v>2.07020025E8</v>
      </c>
      <c r="B152" s="6" t="s">
        <v>126</v>
      </c>
      <c r="C152" s="19" t="s">
        <v>56</v>
      </c>
      <c r="D152" s="22"/>
      <c r="E152" s="21">
        <v>3.0</v>
      </c>
      <c r="F152" s="20">
        <v>8.9</v>
      </c>
      <c r="G152" s="20">
        <f t="shared" si="13"/>
        <v>26.7</v>
      </c>
    </row>
    <row r="153" ht="15.75" customHeight="1">
      <c r="A153" s="29">
        <v>2.07020026E8</v>
      </c>
      <c r="B153" s="6" t="s">
        <v>130</v>
      </c>
      <c r="C153" s="19" t="s">
        <v>56</v>
      </c>
      <c r="D153" s="22"/>
      <c r="E153" s="21">
        <v>1.0</v>
      </c>
      <c r="F153" s="20">
        <v>29.4</v>
      </c>
      <c r="G153" s="20">
        <f t="shared" si="13"/>
        <v>29.4</v>
      </c>
    </row>
    <row r="154" ht="15.75" customHeight="1">
      <c r="A154" s="29">
        <v>2.07020027E8</v>
      </c>
      <c r="B154" s="6" t="s">
        <v>134</v>
      </c>
      <c r="C154" s="19" t="s">
        <v>136</v>
      </c>
      <c r="D154" s="22"/>
      <c r="E154" s="21">
        <v>1.0</v>
      </c>
      <c r="F154" s="20">
        <v>12.9</v>
      </c>
      <c r="G154" s="20">
        <f t="shared" si="13"/>
        <v>12.9</v>
      </c>
    </row>
    <row r="155" ht="15.75" customHeight="1">
      <c r="A155" s="29">
        <v>2.10130059E8</v>
      </c>
      <c r="B155" s="6" t="s">
        <v>140</v>
      </c>
      <c r="C155" s="19" t="s">
        <v>56</v>
      </c>
      <c r="D155" s="22"/>
      <c r="E155" s="21">
        <v>1.0</v>
      </c>
      <c r="F155" s="20">
        <v>94.2</v>
      </c>
      <c r="G155" s="20">
        <f t="shared" si="13"/>
        <v>94.2</v>
      </c>
    </row>
    <row r="156" ht="15.75" customHeight="1">
      <c r="A156" s="29">
        <v>2.26570002E8</v>
      </c>
      <c r="B156" s="6" t="s">
        <v>149</v>
      </c>
      <c r="C156" s="19" t="s">
        <v>56</v>
      </c>
      <c r="D156" s="22"/>
      <c r="E156" s="21">
        <v>1.0</v>
      </c>
      <c r="F156" s="20">
        <v>115.0</v>
      </c>
      <c r="G156" s="20">
        <f t="shared" si="13"/>
        <v>115</v>
      </c>
    </row>
    <row r="157" ht="15.75" customHeight="1">
      <c r="A157" s="29">
        <v>2.2913001E8</v>
      </c>
      <c r="B157" s="6" t="s">
        <v>152</v>
      </c>
      <c r="C157" s="19" t="s">
        <v>56</v>
      </c>
      <c r="D157" s="22"/>
      <c r="E157" s="21">
        <v>3.0</v>
      </c>
      <c r="F157" s="20">
        <v>3.5</v>
      </c>
      <c r="G157" s="20">
        <f t="shared" si="13"/>
        <v>10.5</v>
      </c>
    </row>
    <row r="158" ht="15.75" customHeight="1">
      <c r="A158" s="29">
        <v>2.30010085E8</v>
      </c>
      <c r="B158" s="6" t="s">
        <v>154</v>
      </c>
      <c r="C158" s="19" t="s">
        <v>56</v>
      </c>
      <c r="D158" s="22"/>
      <c r="E158" s="21">
        <v>1.0</v>
      </c>
      <c r="F158" s="20">
        <v>85.0</v>
      </c>
      <c r="G158" s="20">
        <f t="shared" si="13"/>
        <v>85</v>
      </c>
    </row>
    <row r="159" ht="15.75" customHeight="1">
      <c r="A159" s="29">
        <v>2.30350007E8</v>
      </c>
      <c r="B159" s="6" t="s">
        <v>156</v>
      </c>
      <c r="C159" s="19" t="s">
        <v>56</v>
      </c>
      <c r="D159" s="22"/>
      <c r="E159" s="21">
        <v>1.0</v>
      </c>
      <c r="F159" s="20">
        <v>10.0</v>
      </c>
      <c r="G159" s="20">
        <f t="shared" si="13"/>
        <v>10</v>
      </c>
    </row>
    <row r="160" ht="15.75" customHeight="1">
      <c r="A160" s="29">
        <v>2.30530013E8</v>
      </c>
      <c r="B160" s="6" t="s">
        <v>158</v>
      </c>
      <c r="C160" s="19" t="s">
        <v>56</v>
      </c>
      <c r="D160" s="22"/>
      <c r="E160" s="21">
        <v>2.0</v>
      </c>
      <c r="F160" s="20">
        <v>10.0</v>
      </c>
      <c r="G160" s="20">
        <f t="shared" si="13"/>
        <v>20</v>
      </c>
    </row>
    <row r="161" ht="15.75" customHeight="1">
      <c r="A161" s="29">
        <v>2.30530014E8</v>
      </c>
      <c r="B161" s="6" t="s">
        <v>160</v>
      </c>
      <c r="C161" s="19" t="s">
        <v>56</v>
      </c>
      <c r="D161" s="22"/>
      <c r="E161" s="21">
        <v>1.0</v>
      </c>
      <c r="F161" s="20">
        <v>21.5</v>
      </c>
      <c r="G161" s="20">
        <f t="shared" si="13"/>
        <v>21.5</v>
      </c>
    </row>
    <row r="162" ht="15.75" customHeight="1">
      <c r="A162" s="29">
        <v>2.30700084E8</v>
      </c>
      <c r="B162" s="6" t="s">
        <v>162</v>
      </c>
      <c r="C162" s="19" t="s">
        <v>56</v>
      </c>
      <c r="D162" s="22"/>
      <c r="E162" s="21">
        <v>1.0</v>
      </c>
      <c r="F162" s="20">
        <v>25.0</v>
      </c>
      <c r="G162" s="20">
        <f t="shared" si="13"/>
        <v>25</v>
      </c>
    </row>
    <row r="163" ht="15.75" customHeight="1">
      <c r="A163" s="29">
        <v>2.307501E8</v>
      </c>
      <c r="B163" s="6" t="s">
        <v>164</v>
      </c>
      <c r="C163" s="19" t="s">
        <v>56</v>
      </c>
      <c r="D163" s="22"/>
      <c r="E163" s="21">
        <v>35.0</v>
      </c>
      <c r="F163" s="20">
        <v>6.0</v>
      </c>
      <c r="G163" s="20">
        <f t="shared" si="13"/>
        <v>210</v>
      </c>
    </row>
    <row r="164" ht="15.75" customHeight="1">
      <c r="A164" s="29">
        <v>2.30760075E8</v>
      </c>
      <c r="B164" s="6" t="s">
        <v>166</v>
      </c>
      <c r="C164" s="19" t="s">
        <v>56</v>
      </c>
      <c r="D164" s="22"/>
      <c r="E164" s="21">
        <v>1.0</v>
      </c>
      <c r="F164" s="20">
        <v>450.0</v>
      </c>
      <c r="G164" s="20">
        <f t="shared" si="13"/>
        <v>450</v>
      </c>
    </row>
    <row r="165" ht="15.75" customHeight="1">
      <c r="A165" s="29">
        <v>2.30920061E8</v>
      </c>
      <c r="B165" s="6" t="s">
        <v>171</v>
      </c>
      <c r="C165" s="19" t="s">
        <v>172</v>
      </c>
      <c r="D165" s="22"/>
      <c r="E165" s="21">
        <v>30.0</v>
      </c>
      <c r="F165" s="20">
        <v>4.0</v>
      </c>
      <c r="G165" s="20">
        <f t="shared" si="13"/>
        <v>120</v>
      </c>
    </row>
    <row r="166" ht="15.75" customHeight="1">
      <c r="A166" s="29">
        <v>2.30990101E8</v>
      </c>
      <c r="B166" s="6" t="s">
        <v>174</v>
      </c>
      <c r="C166" s="19" t="s">
        <v>56</v>
      </c>
      <c r="D166" s="22"/>
      <c r="E166" s="21">
        <v>2.0</v>
      </c>
      <c r="F166" s="20">
        <v>77.0</v>
      </c>
      <c r="G166" s="20">
        <f t="shared" si="13"/>
        <v>154</v>
      </c>
    </row>
    <row r="167" ht="15.75" customHeight="1">
      <c r="A167" s="29">
        <v>2.39070002E8</v>
      </c>
      <c r="B167" s="6" t="s">
        <v>186</v>
      </c>
      <c r="C167" s="19" t="s">
        <v>136</v>
      </c>
      <c r="D167" s="22"/>
      <c r="E167" s="21">
        <v>3.0</v>
      </c>
      <c r="F167" s="20">
        <v>4.0</v>
      </c>
      <c r="G167" s="20">
        <f t="shared" si="13"/>
        <v>12</v>
      </c>
    </row>
    <row r="168" ht="15.75" customHeight="1">
      <c r="A168" s="29">
        <v>2.39070003E8</v>
      </c>
      <c r="B168" s="6" t="s">
        <v>188</v>
      </c>
      <c r="C168" s="19" t="s">
        <v>136</v>
      </c>
      <c r="D168" s="22"/>
      <c r="E168" s="21">
        <v>2.0</v>
      </c>
      <c r="F168" s="20">
        <v>6.0</v>
      </c>
      <c r="G168" s="20">
        <f t="shared" si="13"/>
        <v>12</v>
      </c>
    </row>
    <row r="169" ht="15.75" customHeight="1">
      <c r="G169" s="17">
        <f>SUM(G135:G168)</f>
        <v>2415.8</v>
      </c>
    </row>
    <row r="170" ht="15.75" customHeight="1"/>
    <row r="171" ht="15.75" customHeight="1"/>
    <row r="172" ht="15.75" customHeight="1">
      <c r="A172" s="2" t="s">
        <v>14</v>
      </c>
      <c r="B172" s="2" t="s">
        <v>217</v>
      </c>
      <c r="F172" s="2" t="s">
        <v>18</v>
      </c>
      <c r="G172" s="6" t="s">
        <v>56</v>
      </c>
    </row>
    <row r="173" ht="15.75" customHeight="1">
      <c r="A173" s="2" t="s">
        <v>20</v>
      </c>
      <c r="B173" s="6" t="s">
        <v>218</v>
      </c>
      <c r="D173" s="2" t="s">
        <v>23</v>
      </c>
      <c r="E173" s="6" t="s">
        <v>219</v>
      </c>
      <c r="F173" s="2" t="s">
        <v>25</v>
      </c>
      <c r="G173" s="17">
        <f>SUM(G180)</f>
        <v>83</v>
      </c>
    </row>
    <row r="174" ht="15.75" customHeight="1">
      <c r="A174" s="11" t="s">
        <v>33</v>
      </c>
      <c r="B174" s="13" t="s">
        <v>38</v>
      </c>
      <c r="C174" s="11" t="s">
        <v>37</v>
      </c>
      <c r="D174" s="14" t="s">
        <v>40</v>
      </c>
      <c r="E174" s="14" t="s">
        <v>39</v>
      </c>
      <c r="F174" s="14" t="s">
        <v>28</v>
      </c>
      <c r="G174" s="14" t="s">
        <v>29</v>
      </c>
    </row>
    <row r="175" ht="15.75" customHeight="1">
      <c r="B175" s="2" t="s">
        <v>51</v>
      </c>
    </row>
    <row r="176" ht="15.75" customHeight="1">
      <c r="A176" s="6" t="s">
        <v>84</v>
      </c>
      <c r="B176" s="6" t="s">
        <v>85</v>
      </c>
      <c r="C176" s="19" t="s">
        <v>56</v>
      </c>
      <c r="D176" s="22"/>
      <c r="E176" s="21">
        <v>1.0</v>
      </c>
      <c r="F176" s="20">
        <v>15.0</v>
      </c>
      <c r="G176" s="20">
        <f t="shared" ref="G176:G179" si="14">ROUND(E176*F176, 2)</f>
        <v>15</v>
      </c>
    </row>
    <row r="177" ht="15.75" customHeight="1">
      <c r="A177" s="6" t="s">
        <v>141</v>
      </c>
      <c r="B177" s="6" t="s">
        <v>142</v>
      </c>
      <c r="C177" s="19" t="s">
        <v>136</v>
      </c>
      <c r="D177" s="22"/>
      <c r="E177" s="21">
        <v>1.0</v>
      </c>
      <c r="F177" s="20">
        <v>35.0</v>
      </c>
      <c r="G177" s="20">
        <f t="shared" si="14"/>
        <v>35</v>
      </c>
    </row>
    <row r="178" ht="15.75" customHeight="1">
      <c r="A178" s="6" t="s">
        <v>146</v>
      </c>
      <c r="B178" s="6" t="s">
        <v>147</v>
      </c>
      <c r="C178" s="19" t="s">
        <v>56</v>
      </c>
      <c r="D178" s="22"/>
      <c r="E178" s="21">
        <v>1.0</v>
      </c>
      <c r="F178" s="20">
        <v>29.0</v>
      </c>
      <c r="G178" s="20">
        <f t="shared" si="14"/>
        <v>29</v>
      </c>
    </row>
    <row r="179" ht="15.75" customHeight="1">
      <c r="A179" s="6" t="s">
        <v>185</v>
      </c>
      <c r="B179" s="6" t="s">
        <v>186</v>
      </c>
      <c r="C179" s="19" t="s">
        <v>136</v>
      </c>
      <c r="D179" s="22"/>
      <c r="E179" s="21">
        <v>1.0</v>
      </c>
      <c r="F179" s="20">
        <v>4.0</v>
      </c>
      <c r="G179" s="20">
        <f t="shared" si="14"/>
        <v>4</v>
      </c>
    </row>
    <row r="180" ht="15.75" customHeight="1">
      <c r="G180" s="17">
        <f>SUM(G176:G179)</f>
        <v>83</v>
      </c>
    </row>
    <row r="181" ht="15.75" customHeight="1"/>
    <row r="182" ht="15.75" customHeight="1"/>
    <row r="183" ht="15.75" customHeight="1">
      <c r="A183" s="2" t="s">
        <v>14</v>
      </c>
      <c r="B183" s="2" t="s">
        <v>220</v>
      </c>
      <c r="F183" s="2" t="s">
        <v>18</v>
      </c>
      <c r="G183" s="6" t="s">
        <v>88</v>
      </c>
    </row>
    <row r="184" ht="15.75" customHeight="1">
      <c r="A184" s="2" t="s">
        <v>20</v>
      </c>
      <c r="B184" s="6" t="s">
        <v>210</v>
      </c>
      <c r="D184" s="2" t="s">
        <v>23</v>
      </c>
      <c r="E184" s="6" t="s">
        <v>219</v>
      </c>
      <c r="F184" s="2" t="s">
        <v>25</v>
      </c>
      <c r="G184" s="17">
        <f>SUM(G188)</f>
        <v>500</v>
      </c>
    </row>
    <row r="185" ht="15.75" customHeight="1">
      <c r="A185" s="11" t="s">
        <v>33</v>
      </c>
      <c r="B185" s="13" t="s">
        <v>38</v>
      </c>
      <c r="C185" s="11" t="s">
        <v>37</v>
      </c>
      <c r="D185" s="14" t="s">
        <v>40</v>
      </c>
      <c r="E185" s="14" t="s">
        <v>39</v>
      </c>
      <c r="F185" s="14" t="s">
        <v>28</v>
      </c>
      <c r="G185" s="14" t="s">
        <v>29</v>
      </c>
    </row>
    <row r="186" ht="15.75" customHeight="1">
      <c r="B186" s="2" t="s">
        <v>51</v>
      </c>
    </row>
    <row r="187" ht="15.75" customHeight="1">
      <c r="A187" s="6" t="s">
        <v>175</v>
      </c>
      <c r="B187" s="6" t="s">
        <v>176</v>
      </c>
      <c r="C187" s="19" t="s">
        <v>88</v>
      </c>
      <c r="D187" s="22"/>
      <c r="E187" s="21">
        <v>1.0</v>
      </c>
      <c r="F187" s="20">
        <v>500.0</v>
      </c>
      <c r="G187" s="20">
        <f>ROUND(E187*F187, 2)</f>
        <v>500</v>
      </c>
    </row>
    <row r="188" ht="15.75" customHeight="1">
      <c r="G188" s="17">
        <f>SUM(G187)</f>
        <v>500</v>
      </c>
    </row>
    <row r="189" ht="15.75" customHeight="1"/>
    <row r="190" ht="15.75" customHeight="1"/>
    <row r="191" ht="15.75" customHeight="1">
      <c r="A191" s="2" t="s">
        <v>14</v>
      </c>
      <c r="B191" s="2" t="s">
        <v>221</v>
      </c>
      <c r="F191" s="2" t="s">
        <v>18</v>
      </c>
      <c r="G191" s="6" t="s">
        <v>88</v>
      </c>
    </row>
    <row r="192" ht="15.75" customHeight="1">
      <c r="A192" s="2" t="s">
        <v>20</v>
      </c>
      <c r="B192" s="6" t="s">
        <v>22</v>
      </c>
      <c r="D192" s="2" t="s">
        <v>23</v>
      </c>
      <c r="E192" s="6" t="s">
        <v>222</v>
      </c>
      <c r="F192" s="2" t="s">
        <v>25</v>
      </c>
      <c r="G192" s="17">
        <f>SUM(G196)</f>
        <v>200</v>
      </c>
    </row>
    <row r="193" ht="15.75" customHeight="1">
      <c r="A193" s="11" t="s">
        <v>33</v>
      </c>
      <c r="B193" s="13" t="s">
        <v>38</v>
      </c>
      <c r="C193" s="11" t="s">
        <v>37</v>
      </c>
      <c r="D193" s="14" t="s">
        <v>40</v>
      </c>
      <c r="E193" s="14" t="s">
        <v>39</v>
      </c>
      <c r="F193" s="14" t="s">
        <v>28</v>
      </c>
      <c r="G193" s="14" t="s">
        <v>29</v>
      </c>
    </row>
    <row r="194" ht="15.75" customHeight="1">
      <c r="B194" s="2" t="s">
        <v>60</v>
      </c>
    </row>
    <row r="195" ht="15.75" customHeight="1">
      <c r="A195" s="6" t="s">
        <v>213</v>
      </c>
      <c r="B195" s="6" t="s">
        <v>214</v>
      </c>
      <c r="C195" s="19" t="s">
        <v>215</v>
      </c>
      <c r="D195" s="22"/>
      <c r="E195" s="21">
        <v>1.0</v>
      </c>
      <c r="F195" s="20">
        <v>200.0</v>
      </c>
      <c r="G195" s="20">
        <f>ROUND(E195*F195, 2)</f>
        <v>200</v>
      </c>
    </row>
    <row r="196" ht="15.75" customHeight="1">
      <c r="G196" s="17">
        <f>SUM(G195)</f>
        <v>200</v>
      </c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59.0"/>
    <col customWidth="1" min="3" max="3" width="49.0"/>
    <col customWidth="1" min="4" max="4" width="10.86"/>
    <col customWidth="1" min="5" max="5" width="13.0"/>
    <col customWidth="1" min="6" max="6" width="10.86"/>
    <col customWidth="1" min="7" max="26" width="8.71"/>
  </cols>
  <sheetData>
    <row r="1">
      <c r="A1" s="1" t="s">
        <v>11</v>
      </c>
    </row>
    <row r="3">
      <c r="A3" s="2" t="s">
        <v>1</v>
      </c>
      <c r="B3" s="6" t="s">
        <v>2</v>
      </c>
      <c r="C3" s="3" t="s">
        <v>26</v>
      </c>
    </row>
    <row r="4">
      <c r="A4" s="2" t="s">
        <v>4</v>
      </c>
      <c r="B4" s="6" t="s">
        <v>5</v>
      </c>
      <c r="C4" s="6" t="s">
        <v>6</v>
      </c>
    </row>
    <row r="5">
      <c r="A5" s="2" t="s">
        <v>8</v>
      </c>
      <c r="C5" s="6" t="s">
        <v>9</v>
      </c>
      <c r="E5" s="2" t="s">
        <v>12</v>
      </c>
      <c r="F5" s="6" t="s">
        <v>32</v>
      </c>
    </row>
    <row r="6">
      <c r="A6" s="2" t="s">
        <v>15</v>
      </c>
      <c r="C6" s="6" t="s">
        <v>17</v>
      </c>
    </row>
    <row r="8">
      <c r="A8" s="11" t="s">
        <v>33</v>
      </c>
      <c r="B8" s="13" t="s">
        <v>34</v>
      </c>
      <c r="C8" s="11" t="s">
        <v>37</v>
      </c>
      <c r="D8" s="14" t="s">
        <v>39</v>
      </c>
      <c r="E8" s="14" t="s">
        <v>28</v>
      </c>
      <c r="F8" s="14" t="s">
        <v>29</v>
      </c>
    </row>
    <row r="9">
      <c r="B9" s="2" t="s">
        <v>43</v>
      </c>
    </row>
    <row r="10">
      <c r="A10" s="6" t="s">
        <v>44</v>
      </c>
      <c r="B10" s="6" t="s">
        <v>45</v>
      </c>
      <c r="C10" s="19" t="s">
        <v>47</v>
      </c>
      <c r="D10" s="21">
        <f>'Análisis Precios Unitarios'!E52*Presupuesto!D15+'Análisis Precios Unitarios'!E69*Presupuesto!D16+'Análisis Precios Unitarios'!E86*Presupuesto!D17+'Análisis Precios Unitarios'!E103*Presupuesto!D20</f>
        <v>104.8228571</v>
      </c>
      <c r="E10" s="20">
        <f t="shared" ref="E10:E11" si="1">F10/D10</f>
        <v>29.88904124</v>
      </c>
      <c r="F10" s="20">
        <f>'Análisis Precios Unitarios'!G52*Presupuesto!D15+'Análisis Precios Unitarios'!G69*Presupuesto!D16+'Análisis Precios Unitarios'!G86*Presupuesto!D17+'Análisis Precios Unitarios'!G103*Presupuesto!D20</f>
        <v>3133.0547</v>
      </c>
    </row>
    <row r="11">
      <c r="A11" s="6" t="s">
        <v>46</v>
      </c>
      <c r="B11" s="6" t="s">
        <v>48</v>
      </c>
      <c r="C11" s="19" t="s">
        <v>47</v>
      </c>
      <c r="D11" s="21">
        <f>'Análisis Precios Unitarios'!E10*Presupuesto!D11+'Análisis Precios Unitarios'!E24*Presupuesto!D12+'Análisis Precios Unitarios'!E38*Presupuesto!D13+'Análisis Precios Unitarios'!E53*Presupuesto!D15+'Análisis Precios Unitarios'!E70*Presupuesto!D16+'Análisis Precios Unitarios'!E87*Presupuesto!D17+'Análisis Precios Unitarios'!E104*Presupuesto!D20+'Análisis Precios Unitarios'!E118*Presupuesto!D22</f>
        <v>345.903619</v>
      </c>
      <c r="E11" s="20">
        <f t="shared" si="1"/>
        <v>21.2881213</v>
      </c>
      <c r="F11" s="20">
        <f>'Análisis Precios Unitarios'!G10*Presupuesto!D11+'Análisis Precios Unitarios'!G24*Presupuesto!D12+'Análisis Precios Unitarios'!G38*Presupuesto!D13+'Análisis Precios Unitarios'!G53*Presupuesto!D15+'Análisis Precios Unitarios'!G70*Presupuesto!D16+'Análisis Precios Unitarios'!G87*Presupuesto!D17+'Análisis Precios Unitarios'!G104*Presupuesto!D20+'Análisis Precios Unitarios'!G118*Presupuesto!D22</f>
        <v>7363.6382</v>
      </c>
    </row>
    <row r="12">
      <c r="F12" s="17">
        <f>SUM(F10:F11)</f>
        <v>10496.6929</v>
      </c>
    </row>
    <row r="13">
      <c r="B13" s="2" t="s">
        <v>51</v>
      </c>
    </row>
    <row r="14">
      <c r="A14" s="6" t="s">
        <v>78</v>
      </c>
      <c r="B14" s="6" t="s">
        <v>79</v>
      </c>
      <c r="C14" s="19" t="s">
        <v>56</v>
      </c>
      <c r="D14" s="21">
        <f>'Análisis Precios Unitarios'!E142*Presupuesto!D25</f>
        <v>1</v>
      </c>
      <c r="E14" s="20">
        <f t="shared" ref="E14:E59" si="2">F14/D14</f>
        <v>10</v>
      </c>
      <c r="F14" s="20">
        <f>'Análisis Precios Unitarios'!G142*Presupuesto!D25</f>
        <v>10</v>
      </c>
    </row>
    <row r="15">
      <c r="A15" s="6" t="s">
        <v>84</v>
      </c>
      <c r="B15" s="6" t="s">
        <v>85</v>
      </c>
      <c r="C15" s="19" t="s">
        <v>56</v>
      </c>
      <c r="D15" s="21">
        <f>'Análisis Precios Unitarios'!E143*Presupuesto!D25+'Análisis Precios Unitarios'!E176*Presupuesto!D27</f>
        <v>5</v>
      </c>
      <c r="E15" s="20">
        <f t="shared" si="2"/>
        <v>15</v>
      </c>
      <c r="F15" s="20">
        <f>'Análisis Precios Unitarios'!G143*Presupuesto!D25+'Análisis Precios Unitarios'!G176*Presupuesto!D27</f>
        <v>75</v>
      </c>
    </row>
    <row r="16">
      <c r="A16" s="6" t="s">
        <v>93</v>
      </c>
      <c r="B16" s="6" t="s">
        <v>94</v>
      </c>
      <c r="C16" s="19" t="s">
        <v>56</v>
      </c>
      <c r="D16" s="21">
        <f>'Análisis Precios Unitarios'!E144*Presupuesto!D25</f>
        <v>1</v>
      </c>
      <c r="E16" s="20">
        <f t="shared" si="2"/>
        <v>12.5</v>
      </c>
      <c r="F16" s="20">
        <f>'Análisis Precios Unitarios'!G144*Presupuesto!D25</f>
        <v>12.5</v>
      </c>
    </row>
    <row r="17">
      <c r="A17" s="6" t="s">
        <v>97</v>
      </c>
      <c r="B17" s="6" t="s">
        <v>98</v>
      </c>
      <c r="C17" s="19" t="s">
        <v>56</v>
      </c>
      <c r="D17" s="21">
        <f>'Análisis Precios Unitarios'!E145*Presupuesto!D25</f>
        <v>1</v>
      </c>
      <c r="E17" s="20">
        <f t="shared" si="2"/>
        <v>45</v>
      </c>
      <c r="F17" s="20">
        <f>'Análisis Precios Unitarios'!G145*Presupuesto!D25</f>
        <v>45</v>
      </c>
    </row>
    <row r="18">
      <c r="A18" s="6" t="s">
        <v>103</v>
      </c>
      <c r="B18" s="6" t="s">
        <v>104</v>
      </c>
      <c r="C18" s="19" t="s">
        <v>56</v>
      </c>
      <c r="D18" s="21">
        <f>'Análisis Precios Unitarios'!E146*Presupuesto!D25</f>
        <v>1</v>
      </c>
      <c r="E18" s="20">
        <f t="shared" si="2"/>
        <v>184.9</v>
      </c>
      <c r="F18" s="20">
        <f>'Análisis Precios Unitarios'!G146*Presupuesto!D25</f>
        <v>184.9</v>
      </c>
    </row>
    <row r="19">
      <c r="A19" s="6" t="s">
        <v>107</v>
      </c>
      <c r="B19" s="6" t="s">
        <v>108</v>
      </c>
      <c r="C19" s="19" t="s">
        <v>56</v>
      </c>
      <c r="D19" s="21">
        <f>'Análisis Precios Unitarios'!E147*Presupuesto!D25</f>
        <v>1</v>
      </c>
      <c r="E19" s="20">
        <f t="shared" si="2"/>
        <v>20</v>
      </c>
      <c r="F19" s="20">
        <f>'Análisis Precios Unitarios'!G147*Presupuesto!D25</f>
        <v>20</v>
      </c>
    </row>
    <row r="20">
      <c r="A20" s="6" t="s">
        <v>111</v>
      </c>
      <c r="B20" s="6" t="s">
        <v>112</v>
      </c>
      <c r="C20" s="19" t="s">
        <v>56</v>
      </c>
      <c r="D20" s="21">
        <f>'Análisis Precios Unitarios'!E148*Presupuesto!D25</f>
        <v>2</v>
      </c>
      <c r="E20" s="20">
        <f t="shared" si="2"/>
        <v>83.7</v>
      </c>
      <c r="F20" s="20">
        <f>'Análisis Precios Unitarios'!G148*Presupuesto!D25</f>
        <v>167.4</v>
      </c>
    </row>
    <row r="21" ht="15.75" customHeight="1">
      <c r="A21" s="6" t="s">
        <v>114</v>
      </c>
      <c r="B21" s="6" t="s">
        <v>116</v>
      </c>
      <c r="C21" s="19" t="s">
        <v>56</v>
      </c>
      <c r="D21" s="21">
        <f>'Análisis Precios Unitarios'!E149*Presupuesto!D25</f>
        <v>1</v>
      </c>
      <c r="E21" s="20">
        <f t="shared" si="2"/>
        <v>31.5</v>
      </c>
      <c r="F21" s="20">
        <f>'Análisis Precios Unitarios'!G149*Presupuesto!D25</f>
        <v>31.5</v>
      </c>
    </row>
    <row r="22" ht="15.75" customHeight="1">
      <c r="A22" s="6" t="s">
        <v>119</v>
      </c>
      <c r="B22" s="6" t="s">
        <v>120</v>
      </c>
      <c r="C22" s="19" t="s">
        <v>56</v>
      </c>
      <c r="D22" s="21">
        <f>'Análisis Precios Unitarios'!E150*Presupuesto!D25</f>
        <v>1</v>
      </c>
      <c r="E22" s="20">
        <f t="shared" si="2"/>
        <v>44.9</v>
      </c>
      <c r="F22" s="20">
        <f>'Análisis Precios Unitarios'!G150*Presupuesto!D25</f>
        <v>44.9</v>
      </c>
    </row>
    <row r="23" ht="15.75" customHeight="1">
      <c r="A23" s="6" t="s">
        <v>122</v>
      </c>
      <c r="B23" s="6" t="s">
        <v>123</v>
      </c>
      <c r="C23" s="19" t="s">
        <v>56</v>
      </c>
      <c r="D23" s="21">
        <f>'Análisis Precios Unitarios'!E151*Presupuesto!D25</f>
        <v>1</v>
      </c>
      <c r="E23" s="20">
        <f t="shared" si="2"/>
        <v>19.9</v>
      </c>
      <c r="F23" s="20">
        <f>'Análisis Precios Unitarios'!G151*Presupuesto!D25</f>
        <v>19.9</v>
      </c>
    </row>
    <row r="24" ht="15.75" customHeight="1">
      <c r="A24" s="6" t="s">
        <v>125</v>
      </c>
      <c r="B24" s="6" t="s">
        <v>126</v>
      </c>
      <c r="C24" s="19" t="s">
        <v>56</v>
      </c>
      <c r="D24" s="21">
        <f>'Análisis Precios Unitarios'!E152*Presupuesto!D25</f>
        <v>3</v>
      </c>
      <c r="E24" s="20">
        <f t="shared" si="2"/>
        <v>8.9</v>
      </c>
      <c r="F24" s="20">
        <f>'Análisis Precios Unitarios'!G152*Presupuesto!D25</f>
        <v>26.7</v>
      </c>
    </row>
    <row r="25" ht="15.75" customHeight="1">
      <c r="A25" s="6" t="s">
        <v>129</v>
      </c>
      <c r="B25" s="6" t="s">
        <v>130</v>
      </c>
      <c r="C25" s="19" t="s">
        <v>56</v>
      </c>
      <c r="D25" s="21">
        <f>'Análisis Precios Unitarios'!E153*Presupuesto!D25</f>
        <v>1</v>
      </c>
      <c r="E25" s="20">
        <f t="shared" si="2"/>
        <v>29.4</v>
      </c>
      <c r="F25" s="20">
        <f>'Análisis Precios Unitarios'!G153*Presupuesto!D25</f>
        <v>29.4</v>
      </c>
    </row>
    <row r="26" ht="15.75" customHeight="1">
      <c r="A26" s="6" t="s">
        <v>132</v>
      </c>
      <c r="B26" s="6" t="s">
        <v>134</v>
      </c>
      <c r="C26" s="19" t="s">
        <v>136</v>
      </c>
      <c r="D26" s="21">
        <f>'Análisis Precios Unitarios'!E154*Presupuesto!D25</f>
        <v>1</v>
      </c>
      <c r="E26" s="20">
        <f t="shared" si="2"/>
        <v>12.9</v>
      </c>
      <c r="F26" s="20">
        <f>'Análisis Precios Unitarios'!G154*Presupuesto!D25</f>
        <v>12.9</v>
      </c>
    </row>
    <row r="27" ht="15.75" customHeight="1">
      <c r="A27" s="6" t="s">
        <v>139</v>
      </c>
      <c r="B27" s="6" t="s">
        <v>140</v>
      </c>
      <c r="C27" s="19" t="s">
        <v>56</v>
      </c>
      <c r="D27" s="21">
        <f>'Análisis Precios Unitarios'!E155*Presupuesto!D25</f>
        <v>1</v>
      </c>
      <c r="E27" s="20">
        <f t="shared" si="2"/>
        <v>94.2</v>
      </c>
      <c r="F27" s="20">
        <f>'Análisis Precios Unitarios'!G155*Presupuesto!D25</f>
        <v>94.2</v>
      </c>
    </row>
    <row r="28" ht="15.75" customHeight="1">
      <c r="A28" s="6" t="s">
        <v>141</v>
      </c>
      <c r="B28" s="6" t="s">
        <v>142</v>
      </c>
      <c r="C28" s="19" t="s">
        <v>136</v>
      </c>
      <c r="D28" s="21">
        <f>'Análisis Precios Unitarios'!E177*Presupuesto!D27</f>
        <v>3</v>
      </c>
      <c r="E28" s="20">
        <f t="shared" si="2"/>
        <v>35</v>
      </c>
      <c r="F28" s="20">
        <f>'Análisis Precios Unitarios'!G177*Presupuesto!D27</f>
        <v>105</v>
      </c>
    </row>
    <row r="29" ht="15.75" customHeight="1">
      <c r="A29" s="6" t="s">
        <v>146</v>
      </c>
      <c r="B29" s="6" t="s">
        <v>147</v>
      </c>
      <c r="C29" s="19" t="s">
        <v>56</v>
      </c>
      <c r="D29" s="21">
        <f>'Análisis Precios Unitarios'!E178*Presupuesto!D27</f>
        <v>3</v>
      </c>
      <c r="E29" s="20">
        <f t="shared" si="2"/>
        <v>29</v>
      </c>
      <c r="F29" s="20">
        <f>'Análisis Precios Unitarios'!G178*Presupuesto!D27</f>
        <v>87</v>
      </c>
    </row>
    <row r="30" ht="15.75" customHeight="1">
      <c r="A30" s="6" t="s">
        <v>148</v>
      </c>
      <c r="B30" s="6" t="s">
        <v>149</v>
      </c>
      <c r="C30" s="19" t="s">
        <v>56</v>
      </c>
      <c r="D30" s="21">
        <f>'Análisis Precios Unitarios'!E156*Presupuesto!D25</f>
        <v>1</v>
      </c>
      <c r="E30" s="20">
        <f t="shared" si="2"/>
        <v>115</v>
      </c>
      <c r="F30" s="20">
        <f>'Análisis Precios Unitarios'!G156*Presupuesto!D25</f>
        <v>115</v>
      </c>
    </row>
    <row r="31" ht="15.75" customHeight="1">
      <c r="A31" s="6" t="s">
        <v>151</v>
      </c>
      <c r="B31" s="6" t="s">
        <v>152</v>
      </c>
      <c r="C31" s="19" t="s">
        <v>56</v>
      </c>
      <c r="D31" s="21">
        <f>'Análisis Precios Unitarios'!E157*Presupuesto!D25</f>
        <v>3</v>
      </c>
      <c r="E31" s="20">
        <f t="shared" si="2"/>
        <v>3.5</v>
      </c>
      <c r="F31" s="20">
        <f>'Análisis Precios Unitarios'!G157*Presupuesto!D25</f>
        <v>10.5</v>
      </c>
    </row>
    <row r="32" ht="15.75" customHeight="1">
      <c r="A32" s="6" t="s">
        <v>153</v>
      </c>
      <c r="B32" s="6" t="s">
        <v>154</v>
      </c>
      <c r="C32" s="19" t="s">
        <v>56</v>
      </c>
      <c r="D32" s="21">
        <f>'Análisis Precios Unitarios'!E158*Presupuesto!D25</f>
        <v>1</v>
      </c>
      <c r="E32" s="20">
        <f t="shared" si="2"/>
        <v>85</v>
      </c>
      <c r="F32" s="20">
        <f>'Análisis Precios Unitarios'!G158*Presupuesto!D25</f>
        <v>85</v>
      </c>
    </row>
    <row r="33" ht="15.75" customHeight="1">
      <c r="A33" s="6" t="s">
        <v>155</v>
      </c>
      <c r="B33" s="6" t="s">
        <v>156</v>
      </c>
      <c r="C33" s="19" t="s">
        <v>56</v>
      </c>
      <c r="D33" s="21">
        <f>'Análisis Precios Unitarios'!E159*Presupuesto!D25</f>
        <v>1</v>
      </c>
      <c r="E33" s="20">
        <f t="shared" si="2"/>
        <v>10</v>
      </c>
      <c r="F33" s="20">
        <f>'Análisis Precios Unitarios'!G159*Presupuesto!D25</f>
        <v>10</v>
      </c>
    </row>
    <row r="34" ht="15.75" customHeight="1">
      <c r="A34" s="6" t="s">
        <v>157</v>
      </c>
      <c r="B34" s="6" t="s">
        <v>158</v>
      </c>
      <c r="C34" s="19" t="s">
        <v>56</v>
      </c>
      <c r="D34" s="21">
        <f>'Análisis Precios Unitarios'!E160*Presupuesto!D25</f>
        <v>2</v>
      </c>
      <c r="E34" s="20">
        <f t="shared" si="2"/>
        <v>10</v>
      </c>
      <c r="F34" s="20">
        <f>'Análisis Precios Unitarios'!G160*Presupuesto!D25</f>
        <v>20</v>
      </c>
    </row>
    <row r="35" ht="15.75" customHeight="1">
      <c r="A35" s="6" t="s">
        <v>159</v>
      </c>
      <c r="B35" s="6" t="s">
        <v>160</v>
      </c>
      <c r="C35" s="19" t="s">
        <v>56</v>
      </c>
      <c r="D35" s="21">
        <f>'Análisis Precios Unitarios'!E161*Presupuesto!D25</f>
        <v>1</v>
      </c>
      <c r="E35" s="20">
        <f t="shared" si="2"/>
        <v>21.5</v>
      </c>
      <c r="F35" s="20">
        <f>'Análisis Precios Unitarios'!G161*Presupuesto!D25</f>
        <v>21.5</v>
      </c>
    </row>
    <row r="36" ht="15.75" customHeight="1">
      <c r="A36" s="6" t="s">
        <v>161</v>
      </c>
      <c r="B36" s="6" t="s">
        <v>162</v>
      </c>
      <c r="C36" s="19" t="s">
        <v>56</v>
      </c>
      <c r="D36" s="21">
        <f>'Análisis Precios Unitarios'!E162*Presupuesto!D25</f>
        <v>1</v>
      </c>
      <c r="E36" s="20">
        <f t="shared" si="2"/>
        <v>25</v>
      </c>
      <c r="F36" s="20">
        <f>'Análisis Precios Unitarios'!G162*Presupuesto!D25</f>
        <v>25</v>
      </c>
    </row>
    <row r="37" ht="15.75" customHeight="1">
      <c r="A37" s="6" t="s">
        <v>163</v>
      </c>
      <c r="B37" s="6" t="s">
        <v>164</v>
      </c>
      <c r="C37" s="19" t="s">
        <v>56</v>
      </c>
      <c r="D37" s="21">
        <f>'Análisis Precios Unitarios'!E163*Presupuesto!D25</f>
        <v>35</v>
      </c>
      <c r="E37" s="20">
        <f t="shared" si="2"/>
        <v>6</v>
      </c>
      <c r="F37" s="20">
        <f>'Análisis Precios Unitarios'!G163*Presupuesto!D25</f>
        <v>210</v>
      </c>
    </row>
    <row r="38" ht="15.75" customHeight="1">
      <c r="A38" s="6" t="s">
        <v>165</v>
      </c>
      <c r="B38" s="6" t="s">
        <v>166</v>
      </c>
      <c r="C38" s="19" t="s">
        <v>56</v>
      </c>
      <c r="D38" s="21">
        <f>'Análisis Precios Unitarios'!E164*Presupuesto!D25</f>
        <v>1</v>
      </c>
      <c r="E38" s="20">
        <f t="shared" si="2"/>
        <v>450</v>
      </c>
      <c r="F38" s="20">
        <f>'Análisis Precios Unitarios'!G164*Presupuesto!D25</f>
        <v>450</v>
      </c>
    </row>
    <row r="39" ht="15.75" customHeight="1">
      <c r="A39" s="6" t="s">
        <v>170</v>
      </c>
      <c r="B39" s="6" t="s">
        <v>171</v>
      </c>
      <c r="C39" s="19" t="s">
        <v>172</v>
      </c>
      <c r="D39" s="21">
        <f>'Análisis Precios Unitarios'!E165*Presupuesto!D25</f>
        <v>30</v>
      </c>
      <c r="E39" s="20">
        <f t="shared" si="2"/>
        <v>4</v>
      </c>
      <c r="F39" s="20">
        <f>'Análisis Precios Unitarios'!G165*Presupuesto!D25</f>
        <v>120</v>
      </c>
    </row>
    <row r="40" ht="15.75" customHeight="1">
      <c r="A40" s="6" t="s">
        <v>173</v>
      </c>
      <c r="B40" s="6" t="s">
        <v>174</v>
      </c>
      <c r="C40" s="19" t="s">
        <v>56</v>
      </c>
      <c r="D40" s="21">
        <f>'Análisis Precios Unitarios'!E166*Presupuesto!D25</f>
        <v>2</v>
      </c>
      <c r="E40" s="20">
        <f t="shared" si="2"/>
        <v>77</v>
      </c>
      <c r="F40" s="20">
        <f>'Análisis Precios Unitarios'!G166*Presupuesto!D25</f>
        <v>154</v>
      </c>
    </row>
    <row r="41" ht="15.75" customHeight="1">
      <c r="A41" s="6" t="s">
        <v>175</v>
      </c>
      <c r="B41" s="6" t="s">
        <v>176</v>
      </c>
      <c r="C41" s="19" t="s">
        <v>88</v>
      </c>
      <c r="D41" s="21">
        <f>'Análisis Precios Unitarios'!E187*Presupuesto!D29</f>
        <v>1</v>
      </c>
      <c r="E41" s="20">
        <f t="shared" si="2"/>
        <v>500</v>
      </c>
      <c r="F41" s="20">
        <f>'Análisis Precios Unitarios'!G187*Presupuesto!D29</f>
        <v>500</v>
      </c>
    </row>
    <row r="42" ht="15.75" customHeight="1">
      <c r="A42" s="6" t="s">
        <v>177</v>
      </c>
      <c r="B42" s="6" t="s">
        <v>178</v>
      </c>
      <c r="C42" s="19" t="s">
        <v>179</v>
      </c>
      <c r="D42" s="21">
        <f>'Análisis Precios Unitarios'!E107*Presupuesto!D20</f>
        <v>216.6</v>
      </c>
      <c r="E42" s="20">
        <f t="shared" si="2"/>
        <v>2.8</v>
      </c>
      <c r="F42" s="20">
        <f>'Análisis Precios Unitarios'!G107*Presupuesto!D20</f>
        <v>606.48</v>
      </c>
    </row>
    <row r="43" ht="15.75" customHeight="1">
      <c r="A43" s="6" t="s">
        <v>54</v>
      </c>
      <c r="B43" s="6" t="s">
        <v>55</v>
      </c>
      <c r="C43" s="19" t="s">
        <v>56</v>
      </c>
      <c r="D43" s="21">
        <f>'Análisis Precios Unitarios'!E13*Presupuesto!D11+'Análisis Precios Unitarios'!E27*Presupuesto!D12+'Análisis Precios Unitarios'!E41*Presupuesto!D13</f>
        <v>63.945</v>
      </c>
      <c r="E43" s="20">
        <f t="shared" si="2"/>
        <v>3.504689968</v>
      </c>
      <c r="F43" s="20">
        <f>'Análisis Precios Unitarios'!G13*Presupuesto!D11+'Análisis Precios Unitarios'!G27*Presupuesto!D12+'Análisis Precios Unitarios'!G41*Presupuesto!D13</f>
        <v>224.1074</v>
      </c>
    </row>
    <row r="44" ht="15.75" customHeight="1">
      <c r="A44" s="6" t="s">
        <v>181</v>
      </c>
      <c r="B44" s="6" t="s">
        <v>182</v>
      </c>
      <c r="C44" s="19" t="s">
        <v>183</v>
      </c>
      <c r="D44" s="21">
        <f>'Análisis Precios Unitarios'!E121*Presupuesto!D22</f>
        <v>7.22</v>
      </c>
      <c r="E44" s="20">
        <f t="shared" si="2"/>
        <v>8</v>
      </c>
      <c r="F44" s="20">
        <f>'Análisis Precios Unitarios'!G121*Presupuesto!D22</f>
        <v>57.76</v>
      </c>
    </row>
    <row r="45" ht="15.75" customHeight="1">
      <c r="A45" s="6" t="s">
        <v>185</v>
      </c>
      <c r="B45" s="6" t="s">
        <v>186</v>
      </c>
      <c r="C45" s="19" t="s">
        <v>136</v>
      </c>
      <c r="D45" s="21">
        <f>'Análisis Precios Unitarios'!E167*Presupuesto!D25+'Análisis Precios Unitarios'!E179*Presupuesto!D27</f>
        <v>6</v>
      </c>
      <c r="E45" s="20">
        <f t="shared" si="2"/>
        <v>4</v>
      </c>
      <c r="F45" s="20">
        <f>'Análisis Precios Unitarios'!G167*Presupuesto!D25+'Análisis Precios Unitarios'!G179*Presupuesto!D27</f>
        <v>24</v>
      </c>
    </row>
    <row r="46" ht="15.75" customHeight="1">
      <c r="A46" s="6" t="s">
        <v>187</v>
      </c>
      <c r="B46" s="6" t="s">
        <v>188</v>
      </c>
      <c r="C46" s="19" t="s">
        <v>136</v>
      </c>
      <c r="D46" s="21">
        <f>'Análisis Precios Unitarios'!E168*Presupuesto!D25</f>
        <v>2</v>
      </c>
      <c r="E46" s="20">
        <f t="shared" si="2"/>
        <v>6</v>
      </c>
      <c r="F46" s="20">
        <f>'Análisis Precios Unitarios'!G168*Presupuesto!D25</f>
        <v>12</v>
      </c>
    </row>
    <row r="47" ht="15.75" customHeight="1">
      <c r="A47" s="6" t="s">
        <v>189</v>
      </c>
      <c r="B47" s="6" t="s">
        <v>142</v>
      </c>
      <c r="C47" s="19" t="s">
        <v>136</v>
      </c>
      <c r="D47" s="21">
        <f>'Análisis Precios Unitarios'!E135*Presupuesto!D25</f>
        <v>2</v>
      </c>
      <c r="E47" s="20">
        <f t="shared" si="2"/>
        <v>34.9</v>
      </c>
      <c r="F47" s="20">
        <f>'Análisis Precios Unitarios'!G135*Presupuesto!D25</f>
        <v>69.8</v>
      </c>
    </row>
    <row r="48" ht="15.75" customHeight="1">
      <c r="A48" s="6" t="s">
        <v>190</v>
      </c>
      <c r="B48" s="6" t="s">
        <v>191</v>
      </c>
      <c r="C48" s="19" t="s">
        <v>56</v>
      </c>
      <c r="D48" s="21">
        <f>'Análisis Precios Unitarios'!E136*Presupuesto!D25</f>
        <v>1</v>
      </c>
      <c r="E48" s="20">
        <f t="shared" si="2"/>
        <v>27.9</v>
      </c>
      <c r="F48" s="20">
        <f>'Análisis Precios Unitarios'!G136*Presupuesto!D25</f>
        <v>27.9</v>
      </c>
    </row>
    <row r="49" ht="15.75" customHeight="1">
      <c r="A49" s="6" t="s">
        <v>192</v>
      </c>
      <c r="B49" s="6" t="s">
        <v>193</v>
      </c>
      <c r="C49" s="19" t="s">
        <v>56</v>
      </c>
      <c r="D49" s="21">
        <f>'Análisis Precios Unitarios'!E137*Presupuesto!D25</f>
        <v>1</v>
      </c>
      <c r="E49" s="20">
        <f t="shared" si="2"/>
        <v>20</v>
      </c>
      <c r="F49" s="20">
        <f>'Análisis Precios Unitarios'!G137*Presupuesto!D25</f>
        <v>20</v>
      </c>
    </row>
    <row r="50" ht="15.75" customHeight="1">
      <c r="A50" s="6" t="s">
        <v>194</v>
      </c>
      <c r="B50" s="6" t="s">
        <v>195</v>
      </c>
      <c r="C50" s="19" t="s">
        <v>56</v>
      </c>
      <c r="D50" s="21">
        <f>'Análisis Precios Unitarios'!E138*Presupuesto!D25</f>
        <v>1</v>
      </c>
      <c r="E50" s="20">
        <f t="shared" si="2"/>
        <v>54</v>
      </c>
      <c r="F50" s="20">
        <f>'Análisis Precios Unitarios'!G138*Presupuesto!D25</f>
        <v>54</v>
      </c>
    </row>
    <row r="51" ht="15.75" customHeight="1">
      <c r="A51" s="6" t="s">
        <v>199</v>
      </c>
      <c r="B51" s="6" t="s">
        <v>200</v>
      </c>
      <c r="C51" s="19" t="s">
        <v>56</v>
      </c>
      <c r="D51" s="21">
        <f>'Análisis Precios Unitarios'!E139*Presupuesto!D25</f>
        <v>1</v>
      </c>
      <c r="E51" s="20">
        <f t="shared" si="2"/>
        <v>210</v>
      </c>
      <c r="F51" s="20">
        <f>'Análisis Precios Unitarios'!G139*Presupuesto!D25</f>
        <v>210</v>
      </c>
    </row>
    <row r="52" ht="15.75" customHeight="1">
      <c r="A52" s="6" t="s">
        <v>201</v>
      </c>
      <c r="B52" s="6" t="s">
        <v>202</v>
      </c>
      <c r="C52" s="19" t="s">
        <v>56</v>
      </c>
      <c r="D52" s="21">
        <f>'Análisis Precios Unitarios'!E140*Presupuesto!D25</f>
        <v>2</v>
      </c>
      <c r="E52" s="20">
        <f t="shared" si="2"/>
        <v>4.9</v>
      </c>
      <c r="F52" s="20">
        <f>'Análisis Precios Unitarios'!G140*Presupuesto!D25</f>
        <v>9.8</v>
      </c>
    </row>
    <row r="53" ht="15.75" customHeight="1">
      <c r="A53" s="6" t="s">
        <v>137</v>
      </c>
      <c r="B53" s="6" t="s">
        <v>138</v>
      </c>
      <c r="C53" s="19" t="s">
        <v>135</v>
      </c>
      <c r="D53" s="21">
        <f>'Análisis Precios Unitarios'!E57*Presupuesto!D15+'Análisis Precios Unitarios'!E73*Presupuesto!D16+'Análisis Precios Unitarios'!E90*Presupuesto!D17</f>
        <v>9.1419</v>
      </c>
      <c r="E53" s="20">
        <f t="shared" si="2"/>
        <v>35</v>
      </c>
      <c r="F53" s="20">
        <f>'Análisis Precios Unitarios'!G57*Presupuesto!D15+'Análisis Precios Unitarios'!G73*Presupuesto!D16+'Análisis Precios Unitarios'!G90*Presupuesto!D17</f>
        <v>319.9665</v>
      </c>
    </row>
    <row r="54" ht="15.75" customHeight="1">
      <c r="A54" s="6" t="s">
        <v>203</v>
      </c>
      <c r="B54" s="6" t="s">
        <v>204</v>
      </c>
      <c r="C54" s="19" t="s">
        <v>135</v>
      </c>
      <c r="D54" s="21">
        <f>'Análisis Precios Unitarios'!E122*Presupuesto!D22</f>
        <v>3.61</v>
      </c>
      <c r="E54" s="20">
        <f t="shared" si="2"/>
        <v>18</v>
      </c>
      <c r="F54" s="20">
        <f>'Análisis Precios Unitarios'!G122*Presupuesto!D22</f>
        <v>64.98</v>
      </c>
    </row>
    <row r="55" ht="15.75" customHeight="1">
      <c r="A55" s="6" t="s">
        <v>205</v>
      </c>
      <c r="B55" s="6" t="s">
        <v>206</v>
      </c>
      <c r="C55" s="19" t="s">
        <v>56</v>
      </c>
      <c r="D55" s="21">
        <f>'Análisis Precios Unitarios'!E123*Presupuesto!D22</f>
        <v>14.44</v>
      </c>
      <c r="E55" s="20">
        <f t="shared" si="2"/>
        <v>12</v>
      </c>
      <c r="F55" s="20">
        <f>'Análisis Precios Unitarios'!G123*Presupuesto!D22</f>
        <v>173.28</v>
      </c>
    </row>
    <row r="56" ht="15.75" customHeight="1">
      <c r="A56" s="6" t="s">
        <v>131</v>
      </c>
      <c r="B56" s="6" t="s">
        <v>133</v>
      </c>
      <c r="C56" s="19" t="s">
        <v>135</v>
      </c>
      <c r="D56" s="21">
        <f>'Análisis Precios Unitarios'!E56*Presupuesto!D15+'Análisis Precios Unitarios'!E74*Presupuesto!D16</f>
        <v>17.353</v>
      </c>
      <c r="E56" s="20">
        <f t="shared" si="2"/>
        <v>57</v>
      </c>
      <c r="F56" s="20">
        <f>'Análisis Precios Unitarios'!G56*Presupuesto!D15+'Análisis Precios Unitarios'!G74*Presupuesto!D16</f>
        <v>989.121</v>
      </c>
    </row>
    <row r="57" ht="15.75" customHeight="1">
      <c r="A57" s="6" t="s">
        <v>207</v>
      </c>
      <c r="B57" s="6" t="s">
        <v>208</v>
      </c>
      <c r="C57" s="19" t="s">
        <v>135</v>
      </c>
      <c r="D57" s="21">
        <f>'Análisis Precios Unitarios'!E124*Presupuesto!D22</f>
        <v>17.328</v>
      </c>
      <c r="E57" s="20">
        <f t="shared" si="2"/>
        <v>70</v>
      </c>
      <c r="F57" s="20">
        <f>'Análisis Precios Unitarios'!G124*Presupuesto!D22</f>
        <v>1212.96</v>
      </c>
    </row>
    <row r="58" ht="15.75" customHeight="1">
      <c r="A58" s="6" t="s">
        <v>180</v>
      </c>
      <c r="B58" s="6" t="s">
        <v>133</v>
      </c>
      <c r="C58" s="19" t="s">
        <v>135</v>
      </c>
      <c r="D58" s="21">
        <f>'Análisis Precios Unitarios'!E91*Presupuesto!D17</f>
        <v>19.8144</v>
      </c>
      <c r="E58" s="20">
        <f t="shared" si="2"/>
        <v>57</v>
      </c>
      <c r="F58" s="20">
        <f>'Análisis Precios Unitarios'!G91*Presupuesto!D17</f>
        <v>1129.4208</v>
      </c>
    </row>
    <row r="59" ht="15.75" customHeight="1">
      <c r="A59" s="6" t="s">
        <v>211</v>
      </c>
      <c r="B59" s="6" t="s">
        <v>212</v>
      </c>
      <c r="C59" s="19" t="s">
        <v>56</v>
      </c>
      <c r="D59" s="21">
        <f>'Análisis Precios Unitarios'!E141*Presupuesto!D25</f>
        <v>1</v>
      </c>
      <c r="E59" s="20">
        <f t="shared" si="2"/>
        <v>50</v>
      </c>
      <c r="F59" s="20">
        <f>'Análisis Precios Unitarios'!G141*Presupuesto!D25</f>
        <v>50</v>
      </c>
    </row>
    <row r="60" ht="15.75" customHeight="1">
      <c r="F60" s="17">
        <f>SUM(F14:F59)</f>
        <v>7942.8757</v>
      </c>
    </row>
    <row r="61" ht="15.75" customHeight="1">
      <c r="B61" s="2" t="s">
        <v>60</v>
      </c>
    </row>
    <row r="62" ht="15.75" customHeight="1">
      <c r="A62" s="6" t="s">
        <v>62</v>
      </c>
      <c r="B62" s="6" t="s">
        <v>63</v>
      </c>
      <c r="C62" s="19" t="s">
        <v>64</v>
      </c>
      <c r="D62" s="21">
        <f>'Análisis Precios Unitarios'!E16*Presupuesto!D11+'Análisis Precios Unitarios'!E30*Presupuesto!D12+'Análisis Precios Unitarios'!E44*Presupuesto!D13+'Análisis Precios Unitarios'!E60*Presupuesto!D15+'Análisis Precios Unitarios'!E77*Presupuesto!D16+'Análisis Precios Unitarios'!E94*Presupuesto!D17+'Análisis Precios Unitarios'!E110*Presupuesto!D20+'Análisis Precios Unitarios'!E127*Presupuesto!D22</f>
        <v>2694.78</v>
      </c>
      <c r="E62" s="20">
        <f t="shared" ref="E62:E64" si="3">F62/D62</f>
        <v>0.1168558424</v>
      </c>
      <c r="F62" s="20">
        <f>'Análisis Precios Unitarios'!G16*Presupuesto!D11+'Análisis Precios Unitarios'!G30*Presupuesto!D12+'Análisis Precios Unitarios'!G44*Presupuesto!D13+'Análisis Precios Unitarios'!G60*Presupuesto!D15+'Análisis Precios Unitarios'!G77*Presupuesto!D16+'Análisis Precios Unitarios'!G94*Presupuesto!D17+'Análisis Precios Unitarios'!G110*Presupuesto!D20+'Análisis Precios Unitarios'!G127*Presupuesto!D22</f>
        <v>314.900787</v>
      </c>
    </row>
    <row r="63" ht="15.75" customHeight="1">
      <c r="A63" s="6" t="s">
        <v>213</v>
      </c>
      <c r="B63" s="6" t="s">
        <v>214</v>
      </c>
      <c r="C63" s="19" t="s">
        <v>215</v>
      </c>
      <c r="D63" s="21">
        <f>'Análisis Precios Unitarios'!E195*Presupuesto!D31</f>
        <v>1</v>
      </c>
      <c r="E63" s="20">
        <f t="shared" si="3"/>
        <v>200</v>
      </c>
      <c r="F63" s="20">
        <f>'Análisis Precios Unitarios'!G195*Presupuesto!D31</f>
        <v>200</v>
      </c>
    </row>
    <row r="64" ht="15.75" customHeight="1">
      <c r="A64" s="6" t="s">
        <v>143</v>
      </c>
      <c r="B64" s="6" t="s">
        <v>144</v>
      </c>
      <c r="C64" s="19" t="s">
        <v>145</v>
      </c>
      <c r="D64" s="21">
        <f>'Análisis Precios Unitarios'!E61*Presupuesto!D15+'Análisis Precios Unitarios'!E78*Presupuesto!D16+'Análisis Precios Unitarios'!E95*Presupuesto!D17</f>
        <v>94.144</v>
      </c>
      <c r="E64" s="20">
        <f t="shared" si="3"/>
        <v>19.99082682</v>
      </c>
      <c r="F64" s="20">
        <f>'Análisis Precios Unitarios'!G61*Presupuesto!D15+'Análisis Precios Unitarios'!G78*Presupuesto!D16+'Análisis Precios Unitarios'!G95*Presupuesto!D17</f>
        <v>1882.0164</v>
      </c>
    </row>
    <row r="65" ht="15.75" customHeight="1">
      <c r="F65" s="17">
        <f>SUM(F62:F64)</f>
        <v>2396.917187</v>
      </c>
    </row>
    <row r="66" ht="15.75" customHeight="1"/>
    <row r="67" ht="15.75" customHeight="1">
      <c r="D67" s="2" t="s">
        <v>216</v>
      </c>
      <c r="F67" s="26">
        <f>SUM(F12,F60,F65)</f>
        <v>20836.48579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2026-08-02T19:37:39Z</dcterms:created>
  <dc:creator>openpyxl</dc:creator>
</cp:coreProperties>
</file>