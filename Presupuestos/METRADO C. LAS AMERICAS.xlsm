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n_0\Downloads\ULTIMAS MDY\"/>
    </mc:Choice>
  </mc:AlternateContent>
  <xr:revisionPtr revIDLastSave="0" documentId="13_ncr:1_{07E755DA-E905-42A5-B9A9-34AF453570E7}" xr6:coauthVersionLast="47" xr6:coauthVersionMax="47" xr10:uidLastSave="{00000000-0000-0000-0000-000000000000}"/>
  <bookViews>
    <workbookView xWindow="-120" yWindow="-120" windowWidth="29040" windowHeight="17520" tabRatio="806" firstSheet="1" activeTab="1" xr2:uid="{00000000-000D-0000-FFFF-FFFF00000000}"/>
  </bookViews>
  <sheets>
    <sheet name="Param" sheetId="15" state="hidden" r:id="rId1"/>
    <sheet name="Metrado" sheetId="13" r:id="rId2"/>
    <sheet name="RESUMEN" sheetId="17" r:id="rId3"/>
    <sheet name="Menu" sheetId="16" state="hidden" r:id="rId4"/>
  </sheets>
  <definedNames>
    <definedName name="_xlnm.Print_Area" localSheetId="1">Metrado!$A$1:$R$59</definedName>
    <definedName name="_xlnm.Print_Area" localSheetId="0">Param!$A$1:$M$23</definedName>
    <definedName name="_xlnm.Print_Area" localSheetId="2">RESUMEN!$A$1:$O$60</definedName>
    <definedName name="_xlnm.Print_Titles" localSheetId="1">Metrado!$1:$10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13" l="1"/>
  <c r="P38" i="13"/>
  <c r="P21" i="13"/>
  <c r="P57" i="13" l="1"/>
  <c r="P54" i="13"/>
  <c r="P46" i="13" l="1"/>
  <c r="P41" i="13"/>
  <c r="P32" i="13" l="1"/>
  <c r="N35" i="17" l="1"/>
  <c r="N29" i="17"/>
  <c r="M25" i="17"/>
  <c r="N24" i="17" s="1"/>
  <c r="N16" i="17"/>
  <c r="N12" i="17"/>
  <c r="N35" i="13"/>
  <c r="P35" i="13" s="1"/>
  <c r="N29" i="13"/>
  <c r="P29" i="13" s="1"/>
  <c r="M25" i="13" l="1"/>
  <c r="N24" i="13" s="1"/>
  <c r="P24" i="13" s="1"/>
  <c r="N16" i="13"/>
  <c r="P16" i="13" s="1"/>
  <c r="N12" i="13" l="1"/>
  <c r="P12" i="13" s="1"/>
</calcChain>
</file>

<file path=xl/sharedStrings.xml><?xml version="1.0" encoding="utf-8"?>
<sst xmlns="http://schemas.openxmlformats.org/spreadsheetml/2006/main" count="377" uniqueCount="220">
  <si>
    <t>Largo</t>
  </si>
  <si>
    <t>Ancho</t>
  </si>
  <si>
    <t>Alto</t>
  </si>
  <si>
    <t>Total</t>
  </si>
  <si>
    <t>ITEM</t>
  </si>
  <si>
    <t>DIMENSIONES</t>
  </si>
  <si>
    <t>METRADO</t>
  </si>
  <si>
    <t>Kg.</t>
  </si>
  <si>
    <t>Vol.</t>
  </si>
  <si>
    <t>Und.</t>
  </si>
  <si>
    <t>Lon.</t>
  </si>
  <si>
    <t>Especialidad:</t>
  </si>
  <si>
    <t>Área</t>
  </si>
  <si>
    <t>DESCRIPCIÓN</t>
  </si>
  <si>
    <t>Revisado  por :</t>
  </si>
  <si>
    <t>Propietario   :</t>
  </si>
  <si>
    <t>Proyecto     :</t>
  </si>
  <si>
    <t>Nº de Veces</t>
  </si>
  <si>
    <t>Und</t>
  </si>
  <si>
    <t>Hecho por      :</t>
  </si>
  <si>
    <t>0.25</t>
  </si>
  <si>
    <t>0.56</t>
  </si>
  <si>
    <t>2.24</t>
  </si>
  <si>
    <t>3.98</t>
  </si>
  <si>
    <t>0.15</t>
  </si>
  <si>
    <t>0.20</t>
  </si>
  <si>
    <t>0.35</t>
  </si>
  <si>
    <t>0.40</t>
  </si>
  <si>
    <t>0.45</t>
  </si>
  <si>
    <t>ancho vent</t>
  </si>
  <si>
    <t>NIVEL</t>
  </si>
  <si>
    <t>nivel de celda</t>
  </si>
  <si>
    <t>pref/suf</t>
  </si>
  <si>
    <t>Elem. Simil.</t>
  </si>
  <si>
    <t>FILA FINAL</t>
  </si>
  <si>
    <t>factor</t>
  </si>
  <si>
    <t>Fecha          :</t>
  </si>
  <si>
    <t>Modulo        :</t>
  </si>
  <si>
    <t>RESUMEN</t>
  </si>
  <si>
    <t>mm</t>
  </si>
  <si>
    <t>m</t>
  </si>
  <si>
    <t>ft</t>
  </si>
  <si>
    <t>in</t>
  </si>
  <si>
    <t>cm</t>
  </si>
  <si>
    <t>tipo de fecha</t>
  </si>
  <si>
    <t>Auto Guardado</t>
  </si>
  <si>
    <t>0.99</t>
  </si>
  <si>
    <t>1.55</t>
  </si>
  <si>
    <t>0.30</t>
  </si>
  <si>
    <t>0.50</t>
  </si>
  <si>
    <t>0.60</t>
  </si>
  <si>
    <t>0.75</t>
  </si>
  <si>
    <t>varilla</t>
  </si>
  <si>
    <t>area</t>
  </si>
  <si>
    <t>empal</t>
  </si>
  <si>
    <t>gancho</t>
  </si>
  <si>
    <t>long</t>
  </si>
  <si>
    <t>vol</t>
  </si>
  <si>
    <t>kg</t>
  </si>
  <si>
    <t>und</t>
  </si>
  <si>
    <t>m2</t>
  </si>
  <si>
    <t>m3</t>
  </si>
  <si>
    <t>in2</t>
  </si>
  <si>
    <t>p2</t>
  </si>
  <si>
    <t>p3</t>
  </si>
  <si>
    <t>cm2</t>
  </si>
  <si>
    <t>mm2</t>
  </si>
  <si>
    <t>cm3</t>
  </si>
  <si>
    <t>mm3</t>
  </si>
  <si>
    <t>ha</t>
  </si>
  <si>
    <t>in3</t>
  </si>
  <si>
    <t>g</t>
  </si>
  <si>
    <t>lb</t>
  </si>
  <si>
    <t>oz</t>
  </si>
  <si>
    <t>p</t>
  </si>
  <si>
    <t>level</t>
  </si>
  <si>
    <t>Caption</t>
  </si>
  <si>
    <t>Positio/Macro</t>
  </si>
  <si>
    <t>Divider</t>
  </si>
  <si>
    <t>FaceID</t>
  </si>
  <si>
    <t>Saludar</t>
  </si>
  <si>
    <t>index</t>
  </si>
  <si>
    <t>Hoja Q</t>
  </si>
  <si>
    <t>Version</t>
  </si>
  <si>
    <t>Metrado de Acero</t>
  </si>
  <si>
    <t>Metrado de Estribo</t>
  </si>
  <si>
    <t>Actualizar Items</t>
  </si>
  <si>
    <t>Generar Items</t>
  </si>
  <si>
    <t>Manejo de Items</t>
  </si>
  <si>
    <t>Generar Nivel</t>
  </si>
  <si>
    <t>Dar Estitlo a Titulos y Partidas</t>
  </si>
  <si>
    <t>Generar Suma de Totales</t>
  </si>
  <si>
    <t>Resumen</t>
  </si>
  <si>
    <t>Generar Resumen</t>
  </si>
  <si>
    <t>Actualizar Titulos a Partir de Resumen</t>
  </si>
  <si>
    <t>Manejo de Archivo</t>
  </si>
  <si>
    <t>Exportar</t>
  </si>
  <si>
    <t>Limpiar Hoja Q</t>
  </si>
  <si>
    <t>Modulos</t>
  </si>
  <si>
    <t>Metrado de Madera</t>
  </si>
  <si>
    <t>AI</t>
  </si>
  <si>
    <t>GN</t>
  </si>
  <si>
    <t>Configuracion de Hoja</t>
  </si>
  <si>
    <t>Editar Encabezado</t>
  </si>
  <si>
    <t>EX</t>
  </si>
  <si>
    <t>LH</t>
  </si>
  <si>
    <t>MA</t>
  </si>
  <si>
    <t>MM</t>
  </si>
  <si>
    <t>EE</t>
  </si>
  <si>
    <t>TP</t>
  </si>
  <si>
    <t>GS</t>
  </si>
  <si>
    <t>GR</t>
  </si>
  <si>
    <t>AT</t>
  </si>
  <si>
    <t>MES</t>
  </si>
  <si>
    <t>GI</t>
  </si>
  <si>
    <t>kg/m</t>
  </si>
  <si>
    <t>sn</t>
  </si>
  <si>
    <t>rec</t>
  </si>
  <si>
    <t>0.10</t>
  </si>
  <si>
    <t>0.05</t>
  </si>
  <si>
    <t>Ø1/4''</t>
  </si>
  <si>
    <t>Ø3/8''</t>
  </si>
  <si>
    <t>Ø5/8''</t>
  </si>
  <si>
    <t>Ø3/4''</t>
  </si>
  <si>
    <t>Ø1''</t>
  </si>
  <si>
    <t>Ø1 3/8''</t>
  </si>
  <si>
    <t>Ø6mm</t>
  </si>
  <si>
    <t>Ø8mm</t>
  </si>
  <si>
    <t>Ø12mm</t>
  </si>
  <si>
    <t>Ø1/2''</t>
  </si>
  <si>
    <t>7.52</t>
  </si>
  <si>
    <t>0.22</t>
  </si>
  <si>
    <t>0.39</t>
  </si>
  <si>
    <t>0.89</t>
  </si>
  <si>
    <t>1.30</t>
  </si>
  <si>
    <t>1.70</t>
  </si>
  <si>
    <t>L</t>
  </si>
  <si>
    <t>mll</t>
  </si>
  <si>
    <t>pza</t>
  </si>
  <si>
    <t>glb</t>
  </si>
  <si>
    <t>pto</t>
  </si>
  <si>
    <t>par</t>
  </si>
  <si>
    <t>jgo</t>
  </si>
  <si>
    <t>bls</t>
  </si>
  <si>
    <t>cil</t>
  </si>
  <si>
    <t>dia</t>
  </si>
  <si>
    <t>mes</t>
  </si>
  <si>
    <t>plg</t>
  </si>
  <si>
    <t>pln</t>
  </si>
  <si>
    <t>tn</t>
  </si>
  <si>
    <t>km3</t>
  </si>
  <si>
    <t>km2</t>
  </si>
  <si>
    <t>km</t>
  </si>
  <si>
    <t>cantidad</t>
  </si>
  <si>
    <t>GLB</t>
  </si>
  <si>
    <t>uña</t>
  </si>
  <si>
    <t>Inicio (Ctrl+q)</t>
  </si>
  <si>
    <t>cod</t>
  </si>
  <si>
    <t>ver/ocul</t>
  </si>
  <si>
    <t>HOJA DE METRADOS</t>
  </si>
  <si>
    <t>MUNICIPALIDAD DISTRITAL DE YARINACOCHA</t>
  </si>
  <si>
    <t>Agosto/2025</t>
  </si>
  <si>
    <t>01.01</t>
  </si>
  <si>
    <t>01.02</t>
  </si>
  <si>
    <t>01.02.01</t>
  </si>
  <si>
    <t>01.02.02</t>
  </si>
  <si>
    <t>02.01</t>
  </si>
  <si>
    <t>03.01</t>
  </si>
  <si>
    <t>TRANSPORTE</t>
  </si>
  <si>
    <t>SEGURIDAD Y SALUD EN OBRA</t>
  </si>
  <si>
    <t>TRANSPORTE DE MATERIALES, EQUIPOS Y HERRAMIENTAS</t>
  </si>
  <si>
    <t>EQUIPOS DE PROTECCION INDIVIDUAL INC. LINEA DE VIDA</t>
  </si>
  <si>
    <t>ENTREGA DE KIT DE HERRAMIENTAS</t>
  </si>
  <si>
    <t>ENTREGA DE KIT DE HERRAMIENTAS SEGUN ANEXO N° 8, 9.1 DE LA GUIA TECNICA PARA EL CUMPLIMIENTO DEL COMPROMISO 4</t>
  </si>
  <si>
    <t>RESUMEN DE METRADOS</t>
  </si>
  <si>
    <t>AR</t>
  </si>
  <si>
    <t>PLAN DE MANTENIMIENTO PREVENTIVO  EN EL DEL SISTEMA DE AGUA POTABLE EN EL CENTRO POBLADO  CASERIO LAS AMERICAS (POZO N° 1), DISTRITO DE YARINACOCHA - CORONEL PORTILLO - UCAYALI</t>
  </si>
  <si>
    <t>POZO I LAS AMERICAS</t>
  </si>
  <si>
    <t>01.00</t>
  </si>
  <si>
    <t>02.00</t>
  </si>
  <si>
    <t>INSTALACIONES SANITARIAS</t>
  </si>
  <si>
    <t>TUBO METÁLICO Ø1" Fº Gº DE 6.00 MTS</t>
  </si>
  <si>
    <t xml:space="preserve">CODO METÁLICO Ø1" Fº Gº </t>
  </si>
  <si>
    <t>TUBERIA DE IMPULSION</t>
  </si>
  <si>
    <t>01.02.01.01</t>
  </si>
  <si>
    <t>01.02.01.02</t>
  </si>
  <si>
    <t xml:space="preserve"> </t>
  </si>
  <si>
    <t>SUMINISTRO E INSTALACION DE TUBERIA Ø4" PVC SAP C-10</t>
  </si>
  <si>
    <t>UND</t>
  </si>
  <si>
    <t xml:space="preserve">VALVULA DE  COMPUERTA DE 4" </t>
  </si>
  <si>
    <t>TUBERIA DE ADUCCION</t>
  </si>
  <si>
    <t>01.02.02.01</t>
  </si>
  <si>
    <t>01.02.02.02</t>
  </si>
  <si>
    <t xml:space="preserve">CODO METÁLICO Ø4" Fº Gº </t>
  </si>
  <si>
    <t>01.02.02.03</t>
  </si>
  <si>
    <t>SITEMA FOTOVOLTAICO</t>
  </si>
  <si>
    <t>03.00</t>
  </si>
  <si>
    <t>MANTENIMIENTO DEL SISTEMA FOTOVOLTAICO</t>
  </si>
  <si>
    <t>VARIOS</t>
  </si>
  <si>
    <t>03.01.01</t>
  </si>
  <si>
    <t xml:space="preserve">SISTEMA DE CLORACION </t>
  </si>
  <si>
    <t>CAMBIO DE ACCESORIOS DEL SISTEMA DE CLORACION</t>
  </si>
  <si>
    <t>CAPACITACION</t>
  </si>
  <si>
    <t>CAPACITACION DE OPERADORES Y JASS DE LA LOCALIDAD</t>
  </si>
  <si>
    <t>03.04</t>
  </si>
  <si>
    <t>03.03</t>
  </si>
  <si>
    <t>03.02</t>
  </si>
  <si>
    <t>03.02.01</t>
  </si>
  <si>
    <t>03.03.01</t>
  </si>
  <si>
    <t>03.04.01</t>
  </si>
  <si>
    <t>TRABAJOS PRELIMINARES</t>
  </si>
  <si>
    <t>EXCAVACION DE SANJA PARA TUBERIA</t>
  </si>
  <si>
    <t>M3</t>
  </si>
  <si>
    <t>RELLENO DE SANJA CON MATERIAL PROPIO</t>
  </si>
  <si>
    <t>01.02.02.04</t>
  </si>
  <si>
    <t>01.02.02.05</t>
  </si>
  <si>
    <t>01.02.02.06</t>
  </si>
  <si>
    <t xml:space="preserve">PRECIO X UND </t>
  </si>
  <si>
    <t xml:space="preserve">PRECIO TOTAL </t>
  </si>
  <si>
    <t xml:space="preserve">SUMA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</si>
</sst>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S/&quot;\ * #,##0.00_-;\-&quot;S/&quot;\ * #,##0.00_-;_-&quot;S/&quot;\ * &quot;-&quot;??_-;_-@_-"/>
    <numFmt numFmtId="164" formatCode="_-* #,##0.00\ [$€]_-;\-* #,##0.00\ [$€]_-;_-* &quot;-&quot;??\ [$€]_-;_-@_-"/>
    <numFmt numFmtId="165" formatCode="mmmm\-yyyy"/>
    <numFmt numFmtId="166" formatCode="&quot;S/&quot;#,##0.00"/>
  </numFmts>
  <fonts count="4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8"/>
      <name val="Calibri"/>
      <family val="2"/>
    </font>
    <font>
      <sz val="3"/>
      <name val="Arial Narrow"/>
      <family val="2"/>
    </font>
    <font>
      <sz val="3"/>
      <name val="Calibri"/>
      <family val="2"/>
    </font>
    <font>
      <sz val="9"/>
      <name val="Calibri"/>
      <family val="2"/>
    </font>
    <font>
      <sz val="9"/>
      <name val="Arial Narrow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8"/>
      <color indexed="8"/>
      <name val="Arial Narrow"/>
      <family val="2"/>
    </font>
    <font>
      <sz val="11"/>
      <name val="Arial Black"/>
      <family val="2"/>
    </font>
    <font>
      <b/>
      <sz val="8"/>
      <color indexed="8"/>
      <name val="Arial Narrow"/>
      <family val="2"/>
    </font>
    <font>
      <b/>
      <sz val="8"/>
      <color indexed="10"/>
      <name val="Arial Narrow"/>
      <family val="2"/>
    </font>
    <font>
      <b/>
      <sz val="3"/>
      <name val="Arial Narrow"/>
      <family val="2"/>
    </font>
    <font>
      <b/>
      <sz val="9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b/>
      <sz val="3"/>
      <color theme="1"/>
      <name val="Arial Narrow"/>
      <family val="2"/>
    </font>
    <font>
      <sz val="3"/>
      <color theme="1"/>
      <name val="Arial Narrow"/>
      <family val="2"/>
    </font>
    <font>
      <b/>
      <sz val="9"/>
      <color indexed="20"/>
      <name val="Arial Narrow"/>
      <family val="2"/>
    </font>
    <font>
      <sz val="8"/>
      <color indexed="10"/>
      <name val="Arial Narrow"/>
      <family val="2"/>
    </font>
    <font>
      <sz val="9"/>
      <color indexed="20"/>
      <name val="Arial Narrow"/>
      <family val="2"/>
    </font>
    <font>
      <b/>
      <sz val="8"/>
      <color rgb="FF0070C0"/>
      <name val="Arial Narrow"/>
      <family val="2"/>
    </font>
    <font>
      <b/>
      <sz val="8"/>
      <color rgb="FF00B050"/>
      <name val="Arial Narrow"/>
      <family val="2"/>
    </font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indexed="20"/>
      <name val="Arial"/>
      <family val="2"/>
    </font>
    <font>
      <b/>
      <sz val="11"/>
      <color indexed="10"/>
      <name val="Arial"/>
      <family val="2"/>
    </font>
    <font>
      <sz val="11"/>
      <color indexed="10"/>
      <name val="Arial"/>
      <family val="2"/>
    </font>
    <font>
      <sz val="11"/>
      <color indexed="20"/>
      <name val="Arial"/>
      <family val="2"/>
    </font>
    <font>
      <sz val="11"/>
      <color rgb="FF000000"/>
      <name val="Arial"/>
      <family val="2"/>
    </font>
    <font>
      <b/>
      <sz val="11"/>
      <color rgb="FF0070C0"/>
      <name val="Arial"/>
      <family val="2"/>
    </font>
    <font>
      <sz val="11"/>
      <color indexed="8"/>
      <name val="Arial"/>
      <family val="2"/>
    </font>
    <font>
      <b/>
      <sz val="11"/>
      <color rgb="FF00B050"/>
      <name val="Arial"/>
      <family val="2"/>
    </font>
    <font>
      <b/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2" fillId="0" borderId="0">
      <alignment vertical="center"/>
    </xf>
    <xf numFmtId="44" fontId="28" fillId="0" borderId="0" applyFont="0" applyFill="0" applyBorder="0" applyAlignment="0" applyProtection="0"/>
  </cellStyleXfs>
  <cellXfs count="324">
    <xf numFmtId="0" fontId="0" fillId="0" borderId="0" xfId="0"/>
    <xf numFmtId="0" fontId="4" fillId="2" borderId="0" xfId="3" applyFont="1" applyFill="1" applyAlignment="1">
      <alignment vertical="center"/>
    </xf>
    <xf numFmtId="0" fontId="7" fillId="2" borderId="0" xfId="3" applyFont="1" applyFill="1" applyAlignment="1">
      <alignment vertical="center"/>
    </xf>
    <xf numFmtId="0" fontId="9" fillId="0" borderId="0" xfId="3" applyFont="1" applyAlignment="1">
      <alignment vertical="center"/>
    </xf>
    <xf numFmtId="0" fontId="10" fillId="0" borderId="0" xfId="3" quotePrefix="1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0" fillId="0" borderId="0" xfId="3" applyFont="1" applyAlignment="1">
      <alignment vertical="center"/>
    </xf>
    <xf numFmtId="0" fontId="11" fillId="0" borderId="0" xfId="0" applyFont="1" applyAlignment="1">
      <alignment horizontal="center"/>
    </xf>
    <xf numFmtId="0" fontId="12" fillId="0" borderId="0" xfId="0" applyFont="1"/>
    <xf numFmtId="0" fontId="7" fillId="2" borderId="2" xfId="3" applyFont="1" applyFill="1" applyBorder="1" applyAlignment="1">
      <alignment horizontal="left" vertical="center"/>
    </xf>
    <xf numFmtId="0" fontId="4" fillId="0" borderId="0" xfId="3" applyFont="1" applyAlignment="1">
      <alignment vertical="center"/>
    </xf>
    <xf numFmtId="0" fontId="6" fillId="0" borderId="0" xfId="3" applyFont="1" applyAlignment="1">
      <alignment vertical="center"/>
    </xf>
    <xf numFmtId="0" fontId="4" fillId="0" borderId="0" xfId="3" quotePrefix="1" applyFont="1" applyAlignment="1">
      <alignment vertical="center"/>
    </xf>
    <xf numFmtId="0" fontId="8" fillId="0" borderId="0" xfId="3" applyFont="1" applyAlignment="1">
      <alignment vertical="center"/>
    </xf>
    <xf numFmtId="0" fontId="7" fillId="0" borderId="0" xfId="3" quotePrefix="1" applyFont="1" applyAlignment="1">
      <alignment vertical="center"/>
    </xf>
    <xf numFmtId="0" fontId="7" fillId="0" borderId="0" xfId="3" applyFont="1" applyAlignment="1">
      <alignment vertical="center"/>
    </xf>
    <xf numFmtId="0" fontId="4" fillId="0" borderId="0" xfId="3" applyFont="1" applyAlignment="1">
      <alignment horizontal="left" vertical="center"/>
    </xf>
    <xf numFmtId="2" fontId="4" fillId="0" borderId="0" xfId="3" applyNumberFormat="1" applyFont="1" applyAlignment="1">
      <alignment horizontal="center" vertical="center"/>
    </xf>
    <xf numFmtId="0" fontId="13" fillId="0" borderId="0" xfId="3" applyFont="1" applyAlignment="1">
      <alignment vertical="center"/>
    </xf>
    <xf numFmtId="0" fontId="0" fillId="0" borderId="0" xfId="0" quotePrefix="1"/>
    <xf numFmtId="0" fontId="5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5" fillId="0" borderId="0" xfId="0" quotePrefix="1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5" fillId="0" borderId="0" xfId="0" applyFont="1" applyAlignment="1" applyProtection="1">
      <alignment horizontal="center" vertical="top"/>
      <protection locked="0"/>
    </xf>
    <xf numFmtId="2" fontId="5" fillId="0" borderId="0" xfId="0" applyNumberFormat="1" applyFont="1" applyAlignment="1">
      <alignment horizontal="right" vertical="top"/>
    </xf>
    <xf numFmtId="2" fontId="5" fillId="0" borderId="0" xfId="3" applyNumberFormat="1" applyFont="1" applyAlignment="1">
      <alignment horizontal="right" vertical="top"/>
    </xf>
    <xf numFmtId="0" fontId="5" fillId="0" borderId="0" xfId="3" quotePrefix="1" applyFont="1" applyAlignment="1" applyProtection="1">
      <alignment horizontal="left" vertical="top"/>
      <protection locked="0"/>
    </xf>
    <xf numFmtId="0" fontId="5" fillId="0" borderId="0" xfId="3" applyFont="1" applyAlignment="1" applyProtection="1">
      <alignment horizontal="center" vertical="top"/>
      <protection locked="0"/>
    </xf>
    <xf numFmtId="0" fontId="5" fillId="0" borderId="0" xfId="0" quotePrefix="1" applyFont="1" applyAlignment="1">
      <alignment horizontal="left" vertical="top"/>
    </xf>
    <xf numFmtId="0" fontId="7" fillId="2" borderId="1" xfId="3" applyFont="1" applyFill="1" applyBorder="1" applyAlignment="1">
      <alignment vertical="center"/>
    </xf>
    <xf numFmtId="0" fontId="17" fillId="2" borderId="2" xfId="3" applyFont="1" applyFill="1" applyBorder="1" applyAlignment="1">
      <alignment horizontal="center" vertical="center"/>
    </xf>
    <xf numFmtId="2" fontId="7" fillId="2" borderId="2" xfId="3" applyNumberFormat="1" applyFont="1" applyFill="1" applyBorder="1" applyAlignment="1">
      <alignment horizontal="right" vertical="center"/>
    </xf>
    <xf numFmtId="2" fontId="7" fillId="2" borderId="2" xfId="3" applyNumberFormat="1" applyFont="1" applyFill="1" applyBorder="1" applyAlignment="1">
      <alignment horizontal="center" vertical="center"/>
    </xf>
    <xf numFmtId="0" fontId="7" fillId="2" borderId="2" xfId="3" applyFont="1" applyFill="1" applyBorder="1" applyAlignment="1">
      <alignment vertical="center"/>
    </xf>
    <xf numFmtId="2" fontId="17" fillId="2" borderId="3" xfId="3" applyNumberFormat="1" applyFont="1" applyFill="1" applyBorder="1" applyAlignment="1">
      <alignment vertical="center"/>
    </xf>
    <xf numFmtId="0" fontId="4" fillId="0" borderId="0" xfId="3" applyFont="1" applyAlignment="1" applyProtection="1">
      <alignment horizontal="left" vertical="top"/>
      <protection locked="0"/>
    </xf>
    <xf numFmtId="0" fontId="4" fillId="0" borderId="0" xfId="3" applyFont="1" applyAlignment="1" applyProtection="1">
      <alignment horizontal="center" vertical="top"/>
      <protection locked="0"/>
    </xf>
    <xf numFmtId="2" fontId="4" fillId="0" borderId="0" xfId="3" applyNumberFormat="1" applyFont="1" applyAlignment="1">
      <alignment horizontal="right" vertical="top"/>
    </xf>
    <xf numFmtId="0" fontId="4" fillId="0" borderId="0" xfId="0" applyFont="1" applyAlignment="1" applyProtection="1">
      <alignment horizontal="left" vertical="top" wrapText="1" indent="2"/>
      <protection locked="0"/>
    </xf>
    <xf numFmtId="0" fontId="5" fillId="0" borderId="0" xfId="3" applyFont="1" applyAlignment="1" applyProtection="1">
      <alignment horizontal="left" vertical="top"/>
      <protection locked="0"/>
    </xf>
    <xf numFmtId="0" fontId="4" fillId="0" borderId="0" xfId="0" quotePrefix="1" applyFont="1" applyAlignment="1">
      <alignment horizontal="left" vertical="top"/>
    </xf>
    <xf numFmtId="0" fontId="4" fillId="0" borderId="0" xfId="0" applyFont="1" applyAlignment="1" applyProtection="1">
      <alignment horizontal="center" vertical="top"/>
      <protection locked="0"/>
    </xf>
    <xf numFmtId="2" fontId="4" fillId="0" borderId="0" xfId="0" applyNumberFormat="1" applyFont="1" applyAlignment="1">
      <alignment horizontal="right" vertical="top"/>
    </xf>
    <xf numFmtId="0" fontId="5" fillId="0" borderId="0" xfId="0" applyFont="1" applyAlignment="1" applyProtection="1">
      <alignment horizontal="left" vertical="top" wrapText="1" indent="1"/>
      <protection locked="0"/>
    </xf>
    <xf numFmtId="0" fontId="4" fillId="0" borderId="0" xfId="0" applyFont="1" applyAlignment="1">
      <alignment horizontal="center" vertical="top"/>
    </xf>
    <xf numFmtId="0" fontId="18" fillId="0" borderId="0" xfId="3" applyFont="1" applyAlignment="1">
      <alignment vertical="center"/>
    </xf>
    <xf numFmtId="0" fontId="18" fillId="0" borderId="0" xfId="0" quotePrefix="1" applyFont="1" applyAlignment="1" applyProtection="1">
      <alignment horizontal="left" vertical="top"/>
      <protection locked="0"/>
    </xf>
    <xf numFmtId="0" fontId="18" fillId="0" borderId="0" xfId="0" applyFont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center" vertical="top"/>
      <protection locked="0"/>
    </xf>
    <xf numFmtId="2" fontId="18" fillId="0" borderId="0" xfId="0" applyNumberFormat="1" applyFont="1" applyAlignment="1">
      <alignment horizontal="right" vertical="top"/>
    </xf>
    <xf numFmtId="2" fontId="18" fillId="0" borderId="0" xfId="3" applyNumberFormat="1" applyFont="1" applyAlignment="1">
      <alignment horizontal="right" vertical="top"/>
    </xf>
    <xf numFmtId="0" fontId="4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indent="1"/>
      <protection locked="0"/>
    </xf>
    <xf numFmtId="0" fontId="5" fillId="0" borderId="0" xfId="3" applyFont="1" applyAlignment="1">
      <alignment horizontal="center" vertical="center"/>
    </xf>
    <xf numFmtId="2" fontId="4" fillId="0" borderId="0" xfId="3" applyNumberFormat="1" applyFont="1" applyAlignment="1">
      <alignment horizontal="right" vertical="center"/>
    </xf>
    <xf numFmtId="2" fontId="5" fillId="0" borderId="0" xfId="3" applyNumberFormat="1" applyFont="1" applyAlignment="1">
      <alignment vertical="center"/>
    </xf>
    <xf numFmtId="0" fontId="4" fillId="0" borderId="0" xfId="3" applyFont="1" applyAlignment="1" applyProtection="1">
      <alignment vertical="top" wrapText="1"/>
      <protection locked="0"/>
    </xf>
    <xf numFmtId="0" fontId="4" fillId="0" borderId="0" xfId="0" applyFont="1" applyAlignment="1" applyProtection="1">
      <alignment vertical="top" wrapText="1"/>
      <protection locked="0"/>
    </xf>
    <xf numFmtId="0" fontId="5" fillId="0" borderId="0" xfId="3" applyFont="1" applyAlignment="1" applyProtection="1">
      <alignment vertical="top" wrapText="1"/>
      <protection locked="0"/>
    </xf>
    <xf numFmtId="0" fontId="5" fillId="0" borderId="0" xfId="0" applyFont="1" applyAlignment="1" applyProtection="1">
      <alignment vertical="top" wrapText="1"/>
      <protection locked="0"/>
    </xf>
    <xf numFmtId="0" fontId="4" fillId="0" borderId="0" xfId="0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16" fillId="0" borderId="0" xfId="3" applyFont="1" applyAlignment="1">
      <alignment vertical="center"/>
    </xf>
    <xf numFmtId="2" fontId="15" fillId="0" borderId="0" xfId="3" applyNumberFormat="1" applyFont="1" applyAlignment="1">
      <alignment horizontal="right" vertical="top"/>
    </xf>
    <xf numFmtId="0" fontId="15" fillId="0" borderId="0" xfId="3" applyFont="1" applyAlignment="1" applyProtection="1">
      <alignment horizontal="center" vertical="top"/>
      <protection locked="0"/>
    </xf>
    <xf numFmtId="4" fontId="15" fillId="0" borderId="15" xfId="0" applyNumberFormat="1" applyFont="1" applyBorder="1" applyAlignment="1">
      <alignment horizontal="center" vertical="top"/>
    </xf>
    <xf numFmtId="0" fontId="19" fillId="4" borderId="16" xfId="0" applyFont="1" applyFill="1" applyBorder="1" applyAlignment="1">
      <alignment horizontal="right" vertical="top"/>
    </xf>
    <xf numFmtId="0" fontId="20" fillId="4" borderId="0" xfId="0" applyFont="1" applyFill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2" fontId="19" fillId="4" borderId="0" xfId="0" applyNumberFormat="1" applyFont="1" applyFill="1" applyAlignment="1">
      <alignment horizontal="right" vertical="center"/>
    </xf>
    <xf numFmtId="2" fontId="20" fillId="4" borderId="0" xfId="0" applyNumberFormat="1" applyFont="1" applyFill="1" applyAlignment="1">
      <alignment horizontal="right" vertical="center"/>
    </xf>
    <xf numFmtId="2" fontId="20" fillId="4" borderId="0" xfId="0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left" vertical="center"/>
    </xf>
    <xf numFmtId="2" fontId="20" fillId="4" borderId="17" xfId="0" applyNumberFormat="1" applyFont="1" applyFill="1" applyBorder="1" applyAlignment="1">
      <alignment vertical="center"/>
    </xf>
    <xf numFmtId="165" fontId="20" fillId="4" borderId="0" xfId="0" quotePrefix="1" applyNumberFormat="1" applyFont="1" applyFill="1" applyAlignment="1">
      <alignment horizontal="left" vertical="center"/>
    </xf>
    <xf numFmtId="0" fontId="19" fillId="4" borderId="0" xfId="0" applyFont="1" applyFill="1" applyAlignment="1">
      <alignment vertical="center"/>
    </xf>
    <xf numFmtId="2" fontId="20" fillId="4" borderId="0" xfId="0" applyNumberFormat="1" applyFont="1" applyFill="1" applyAlignment="1">
      <alignment vertical="center"/>
    </xf>
    <xf numFmtId="2" fontId="20" fillId="4" borderId="0" xfId="0" applyNumberFormat="1" applyFont="1" applyFill="1" applyAlignment="1">
      <alignment horizontal="left" vertical="center" wrapText="1"/>
    </xf>
    <xf numFmtId="0" fontId="20" fillId="4" borderId="0" xfId="0" applyFont="1" applyFill="1" applyAlignment="1">
      <alignment horizontal="left" vertical="center" wrapText="1"/>
    </xf>
    <xf numFmtId="2" fontId="19" fillId="4" borderId="0" xfId="0" applyNumberFormat="1" applyFont="1" applyFill="1" applyAlignment="1">
      <alignment vertical="center"/>
    </xf>
    <xf numFmtId="0" fontId="21" fillId="4" borderId="18" xfId="0" applyFont="1" applyFill="1" applyBorder="1" applyAlignment="1">
      <alignment vertical="center"/>
    </xf>
    <xf numFmtId="0" fontId="21" fillId="4" borderId="19" xfId="0" applyFont="1" applyFill="1" applyBorder="1" applyAlignment="1">
      <alignment horizontal="left" vertical="center"/>
    </xf>
    <xf numFmtId="0" fontId="21" fillId="4" borderId="19" xfId="0" applyFont="1" applyFill="1" applyBorder="1" applyAlignment="1">
      <alignment horizontal="center" vertical="center"/>
    </xf>
    <xf numFmtId="2" fontId="21" fillId="4" borderId="19" xfId="0" applyNumberFormat="1" applyFont="1" applyFill="1" applyBorder="1" applyAlignment="1">
      <alignment horizontal="left" vertical="center"/>
    </xf>
    <xf numFmtId="2" fontId="22" fillId="4" borderId="19" xfId="0" applyNumberFormat="1" applyFont="1" applyFill="1" applyBorder="1" applyAlignment="1">
      <alignment vertical="center"/>
    </xf>
    <xf numFmtId="2" fontId="21" fillId="4" borderId="19" xfId="0" applyNumberFormat="1" applyFont="1" applyFill="1" applyBorder="1" applyAlignment="1">
      <alignment vertical="center"/>
    </xf>
    <xf numFmtId="2" fontId="22" fillId="4" borderId="19" xfId="0" applyNumberFormat="1" applyFont="1" applyFill="1" applyBorder="1" applyAlignment="1">
      <alignment horizontal="center" vertical="center"/>
    </xf>
    <xf numFmtId="0" fontId="22" fillId="4" borderId="19" xfId="0" applyFont="1" applyFill="1" applyBorder="1" applyAlignment="1">
      <alignment vertical="center"/>
    </xf>
    <xf numFmtId="2" fontId="21" fillId="4" borderId="20" xfId="0" applyNumberFormat="1" applyFont="1" applyFill="1" applyBorder="1" applyAlignment="1">
      <alignment vertical="center"/>
    </xf>
    <xf numFmtId="0" fontId="23" fillId="0" borderId="0" xfId="3" applyFont="1" applyAlignment="1">
      <alignment vertical="center"/>
    </xf>
    <xf numFmtId="0" fontId="15" fillId="0" borderId="0" xfId="3" applyFont="1" applyAlignment="1" applyProtection="1">
      <alignment horizontal="left" vertical="top"/>
      <protection locked="0"/>
    </xf>
    <xf numFmtId="0" fontId="15" fillId="0" borderId="0" xfId="3" quotePrefix="1" applyFont="1" applyAlignment="1" applyProtection="1">
      <alignment horizontal="left" vertical="top"/>
      <protection locked="0"/>
    </xf>
    <xf numFmtId="0" fontId="15" fillId="0" borderId="0" xfId="3" applyFont="1" applyAlignment="1" applyProtection="1">
      <alignment horizontal="left" vertical="top" wrapText="1" indent="1"/>
      <protection locked="0"/>
    </xf>
    <xf numFmtId="0" fontId="15" fillId="0" borderId="15" xfId="0" applyFont="1" applyBorder="1" applyAlignment="1">
      <alignment horizontal="left" vertical="top" wrapText="1" indent="1"/>
    </xf>
    <xf numFmtId="0" fontId="23" fillId="0" borderId="15" xfId="0" quotePrefix="1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4" fontId="23" fillId="0" borderId="15" xfId="0" applyNumberFormat="1" applyFont="1" applyBorder="1" applyAlignment="1">
      <alignment horizontal="center" vertical="top"/>
    </xf>
    <xf numFmtId="2" fontId="23" fillId="0" borderId="15" xfId="0" applyNumberFormat="1" applyFont="1" applyBorder="1" applyAlignment="1">
      <alignment horizontal="right" vertical="top"/>
    </xf>
    <xf numFmtId="0" fontId="16" fillId="0" borderId="15" xfId="0" quotePrefix="1" applyFont="1" applyBorder="1" applyAlignment="1">
      <alignment horizontal="left" vertical="top"/>
    </xf>
    <xf numFmtId="0" fontId="16" fillId="0" borderId="15" xfId="0" applyFont="1" applyBorder="1" applyAlignment="1">
      <alignment horizontal="left" vertical="top" wrapText="1"/>
    </xf>
    <xf numFmtId="4" fontId="16" fillId="0" borderId="15" xfId="0" applyNumberFormat="1" applyFont="1" applyBorder="1" applyAlignment="1">
      <alignment horizontal="center" vertical="top"/>
    </xf>
    <xf numFmtId="2" fontId="16" fillId="0" borderId="15" xfId="0" applyNumberFormat="1" applyFont="1" applyBorder="1" applyAlignment="1">
      <alignment horizontal="right" vertical="top"/>
    </xf>
    <xf numFmtId="0" fontId="15" fillId="0" borderId="15" xfId="0" quotePrefix="1" applyFont="1" applyBorder="1" applyAlignment="1">
      <alignment horizontal="left" vertical="top"/>
    </xf>
    <xf numFmtId="0" fontId="5" fillId="0" borderId="15" xfId="0" quotePrefix="1" applyFont="1" applyBorder="1" applyAlignment="1">
      <alignment horizontal="left" vertical="top"/>
    </xf>
    <xf numFmtId="0" fontId="5" fillId="0" borderId="15" xfId="0" applyFont="1" applyBorder="1" applyAlignment="1">
      <alignment horizontal="left" vertical="top" wrapText="1"/>
    </xf>
    <xf numFmtId="4" fontId="5" fillId="0" borderId="15" xfId="0" applyNumberFormat="1" applyFont="1" applyBorder="1" applyAlignment="1">
      <alignment horizontal="center" vertical="top"/>
    </xf>
    <xf numFmtId="2" fontId="5" fillId="0" borderId="15" xfId="0" applyNumberFormat="1" applyFont="1" applyBorder="1" applyAlignment="1">
      <alignment horizontal="right" vertical="top"/>
    </xf>
    <xf numFmtId="0" fontId="13" fillId="0" borderId="15" xfId="0" quotePrefix="1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 indent="2"/>
    </xf>
    <xf numFmtId="4" fontId="13" fillId="0" borderId="15" xfId="0" applyNumberFormat="1" applyFont="1" applyBorder="1" applyAlignment="1">
      <alignment horizontal="center" vertical="top"/>
    </xf>
    <xf numFmtId="2" fontId="15" fillId="0" borderId="15" xfId="3" applyNumberFormat="1" applyFont="1" applyBorder="1" applyAlignment="1">
      <alignment horizontal="right" vertical="top"/>
    </xf>
    <xf numFmtId="0" fontId="15" fillId="0" borderId="15" xfId="3" quotePrefix="1" applyFont="1" applyBorder="1" applyAlignment="1" applyProtection="1">
      <alignment horizontal="left" vertical="top"/>
      <protection locked="0"/>
    </xf>
    <xf numFmtId="0" fontId="15" fillId="0" borderId="15" xfId="3" applyFont="1" applyBorder="1" applyAlignment="1" applyProtection="1">
      <alignment horizontal="center" vertical="top"/>
      <protection locked="0"/>
    </xf>
    <xf numFmtId="0" fontId="15" fillId="0" borderId="15" xfId="3" applyFont="1" applyBorder="1" applyAlignment="1" applyProtection="1">
      <alignment horizontal="left" vertical="top" wrapText="1" indent="1"/>
      <protection locked="0"/>
    </xf>
    <xf numFmtId="0" fontId="15" fillId="0" borderId="24" xfId="0" quotePrefix="1" applyFont="1" applyBorder="1" applyAlignment="1">
      <alignment horizontal="left" vertical="top"/>
    </xf>
    <xf numFmtId="0" fontId="15" fillId="0" borderId="24" xfId="0" applyFont="1" applyBorder="1" applyAlignment="1">
      <alignment horizontal="left" vertical="top" wrapText="1" indent="1"/>
    </xf>
    <xf numFmtId="4" fontId="15" fillId="0" borderId="24" xfId="0" applyNumberFormat="1" applyFont="1" applyBorder="1" applyAlignment="1">
      <alignment horizontal="center" vertical="top"/>
    </xf>
    <xf numFmtId="2" fontId="15" fillId="0" borderId="24" xfId="0" applyNumberFormat="1" applyFont="1" applyBorder="1" applyAlignment="1">
      <alignment horizontal="right" vertical="top"/>
    </xf>
    <xf numFmtId="2" fontId="15" fillId="0" borderId="15" xfId="0" applyNumberFormat="1" applyFont="1" applyBorder="1" applyAlignment="1">
      <alignment horizontal="right" vertical="top"/>
    </xf>
    <xf numFmtId="2" fontId="13" fillId="0" borderId="15" xfId="0" applyNumberFormat="1" applyFont="1" applyBorder="1" applyAlignment="1">
      <alignment horizontal="right" vertical="top"/>
    </xf>
    <xf numFmtId="2" fontId="5" fillId="3" borderId="22" xfId="3" applyNumberFormat="1" applyFont="1" applyFill="1" applyBorder="1" applyAlignment="1">
      <alignment horizontal="center" vertical="center"/>
    </xf>
    <xf numFmtId="2" fontId="4" fillId="0" borderId="15" xfId="0" applyNumberFormat="1" applyFont="1" applyBorder="1" applyAlignment="1">
      <alignment horizontal="right" vertical="top"/>
    </xf>
    <xf numFmtId="0" fontId="5" fillId="3" borderId="22" xfId="3" applyFont="1" applyFill="1" applyBorder="1" applyAlignment="1">
      <alignment horizontal="center" vertical="center"/>
    </xf>
    <xf numFmtId="2" fontId="17" fillId="2" borderId="2" xfId="3" applyNumberFormat="1" applyFont="1" applyFill="1" applyBorder="1" applyAlignment="1">
      <alignment horizontal="center" vertical="center"/>
    </xf>
    <xf numFmtId="2" fontId="21" fillId="4" borderId="19" xfId="0" applyNumberFormat="1" applyFont="1" applyFill="1" applyBorder="1" applyAlignment="1">
      <alignment horizontal="center" vertical="center"/>
    </xf>
    <xf numFmtId="2" fontId="5" fillId="0" borderId="0" xfId="3" applyNumberFormat="1" applyFont="1" applyAlignment="1">
      <alignment horizontal="center" vertical="center"/>
    </xf>
    <xf numFmtId="2" fontId="18" fillId="0" borderId="0" xfId="0" applyNumberFormat="1" applyFont="1" applyAlignment="1" applyProtection="1">
      <alignment horizontal="right" vertical="top"/>
      <protection locked="0"/>
    </xf>
    <xf numFmtId="2" fontId="5" fillId="0" borderId="0" xfId="0" applyNumberFormat="1" applyFont="1" applyAlignment="1" applyProtection="1">
      <alignment horizontal="right" vertical="top"/>
      <protection locked="0"/>
    </xf>
    <xf numFmtId="2" fontId="4" fillId="0" borderId="0" xfId="0" applyNumberFormat="1" applyFont="1" applyAlignment="1" applyProtection="1">
      <alignment horizontal="right" vertical="top"/>
      <protection locked="0"/>
    </xf>
    <xf numFmtId="2" fontId="24" fillId="0" borderId="15" xfId="0" applyNumberFormat="1" applyFont="1" applyBorder="1" applyAlignment="1">
      <alignment horizontal="right" vertical="top"/>
    </xf>
    <xf numFmtId="2" fontId="25" fillId="0" borderId="15" xfId="0" applyNumberFormat="1" applyFont="1" applyBorder="1" applyAlignment="1">
      <alignment horizontal="right" vertical="top"/>
    </xf>
    <xf numFmtId="0" fontId="26" fillId="0" borderId="15" xfId="0" applyFont="1" applyBorder="1" applyAlignment="1">
      <alignment horizontal="left" vertical="top" wrapText="1"/>
    </xf>
    <xf numFmtId="0" fontId="23" fillId="0" borderId="15" xfId="0" quotePrefix="1" applyFont="1" applyBorder="1" applyAlignment="1">
      <alignment horizontal="left" vertical="top" wrapText="1"/>
    </xf>
    <xf numFmtId="4" fontId="24" fillId="0" borderId="15" xfId="0" applyNumberFormat="1" applyFont="1" applyBorder="1" applyAlignment="1">
      <alignment horizontal="center" vertical="top"/>
    </xf>
    <xf numFmtId="4" fontId="4" fillId="0" borderId="15" xfId="0" applyNumberFormat="1" applyFont="1" applyBorder="1" applyAlignment="1">
      <alignment horizontal="center" vertical="top"/>
    </xf>
    <xf numFmtId="0" fontId="16" fillId="0" borderId="15" xfId="0" quotePrefix="1" applyFont="1" applyBorder="1" applyAlignment="1">
      <alignment horizontal="left" vertical="top" wrapText="1"/>
    </xf>
    <xf numFmtId="0" fontId="27" fillId="0" borderId="15" xfId="0" applyFont="1" applyBorder="1" applyAlignment="1">
      <alignment horizontal="left" vertical="top" wrapText="1"/>
    </xf>
    <xf numFmtId="0" fontId="29" fillId="2" borderId="0" xfId="3" applyFont="1" applyFill="1" applyAlignment="1">
      <alignment vertical="center"/>
    </xf>
    <xf numFmtId="44" fontId="29" fillId="0" borderId="0" xfId="5" applyFont="1" applyAlignment="1">
      <alignment vertical="center"/>
    </xf>
    <xf numFmtId="0" fontId="29" fillId="0" borderId="0" xfId="3" quotePrefix="1" applyFont="1" applyAlignment="1">
      <alignment vertical="center"/>
    </xf>
    <xf numFmtId="0" fontId="29" fillId="0" borderId="0" xfId="3" applyFont="1" applyAlignment="1">
      <alignment vertical="center"/>
    </xf>
    <xf numFmtId="0" fontId="29" fillId="2" borderId="1" xfId="3" applyFont="1" applyFill="1" applyBorder="1" applyAlignment="1">
      <alignment vertical="center"/>
    </xf>
    <xf numFmtId="0" fontId="29" fillId="2" borderId="2" xfId="3" applyFont="1" applyFill="1" applyBorder="1" applyAlignment="1">
      <alignment horizontal="left" vertical="center"/>
    </xf>
    <xf numFmtId="0" fontId="30" fillId="2" borderId="2" xfId="3" applyFont="1" applyFill="1" applyBorder="1" applyAlignment="1">
      <alignment horizontal="center" vertical="center"/>
    </xf>
    <xf numFmtId="2" fontId="30" fillId="2" borderId="2" xfId="3" applyNumberFormat="1" applyFont="1" applyFill="1" applyBorder="1" applyAlignment="1">
      <alignment horizontal="center" vertical="center"/>
    </xf>
    <xf numFmtId="2" fontId="29" fillId="2" borderId="2" xfId="3" applyNumberFormat="1" applyFont="1" applyFill="1" applyBorder="1" applyAlignment="1">
      <alignment horizontal="right" vertical="center"/>
    </xf>
    <xf numFmtId="2" fontId="29" fillId="2" borderId="2" xfId="3" applyNumberFormat="1" applyFont="1" applyFill="1" applyBorder="1" applyAlignment="1">
      <alignment horizontal="center" vertical="center"/>
    </xf>
    <xf numFmtId="0" fontId="29" fillId="2" borderId="2" xfId="3" applyFont="1" applyFill="1" applyBorder="1" applyAlignment="1">
      <alignment vertical="center"/>
    </xf>
    <xf numFmtId="2" fontId="30" fillId="2" borderId="3" xfId="3" applyNumberFormat="1" applyFont="1" applyFill="1" applyBorder="1" applyAlignment="1">
      <alignment vertical="center"/>
    </xf>
    <xf numFmtId="0" fontId="31" fillId="4" borderId="16" xfId="0" applyFont="1" applyFill="1" applyBorder="1" applyAlignment="1">
      <alignment horizontal="right" vertical="top"/>
    </xf>
    <xf numFmtId="0" fontId="32" fillId="4" borderId="0" xfId="0" applyFont="1" applyFill="1" applyAlignment="1">
      <alignment horizontal="left" vertical="center"/>
    </xf>
    <xf numFmtId="0" fontId="32" fillId="4" borderId="0" xfId="0" applyFont="1" applyFill="1" applyAlignment="1">
      <alignment horizontal="center" vertical="center"/>
    </xf>
    <xf numFmtId="2" fontId="32" fillId="4" borderId="0" xfId="0" applyNumberFormat="1" applyFont="1" applyFill="1" applyAlignment="1">
      <alignment horizontal="center" vertical="center"/>
    </xf>
    <xf numFmtId="2" fontId="31" fillId="4" borderId="0" xfId="0" applyNumberFormat="1" applyFont="1" applyFill="1" applyAlignment="1">
      <alignment horizontal="right" vertical="center"/>
    </xf>
    <xf numFmtId="2" fontId="32" fillId="4" borderId="0" xfId="0" applyNumberFormat="1" applyFont="1" applyFill="1" applyAlignment="1">
      <alignment horizontal="right" vertical="center"/>
    </xf>
    <xf numFmtId="2" fontId="32" fillId="4" borderId="0" xfId="0" applyNumberFormat="1" applyFont="1" applyFill="1" applyAlignment="1">
      <alignment horizontal="left" vertical="center"/>
    </xf>
    <xf numFmtId="2" fontId="32" fillId="4" borderId="17" xfId="0" applyNumberFormat="1" applyFont="1" applyFill="1" applyBorder="1" applyAlignment="1">
      <alignment vertical="center"/>
    </xf>
    <xf numFmtId="165" fontId="32" fillId="4" borderId="0" xfId="0" quotePrefix="1" applyNumberFormat="1" applyFont="1" applyFill="1" applyAlignment="1">
      <alignment horizontal="left" vertical="center"/>
    </xf>
    <xf numFmtId="0" fontId="31" fillId="4" borderId="0" xfId="0" applyFont="1" applyFill="1" applyAlignment="1">
      <alignment vertical="center"/>
    </xf>
    <xf numFmtId="2" fontId="31" fillId="4" borderId="0" xfId="0" applyNumberFormat="1" applyFont="1" applyFill="1" applyAlignment="1">
      <alignment vertical="center"/>
    </xf>
    <xf numFmtId="2" fontId="32" fillId="4" borderId="0" xfId="0" applyNumberFormat="1" applyFont="1" applyFill="1" applyAlignment="1">
      <alignment vertical="center"/>
    </xf>
    <xf numFmtId="2" fontId="32" fillId="4" borderId="0" xfId="0" applyNumberFormat="1" applyFont="1" applyFill="1" applyAlignment="1">
      <alignment horizontal="left" vertical="center" wrapText="1"/>
    </xf>
    <xf numFmtId="0" fontId="32" fillId="4" borderId="0" xfId="0" applyFont="1" applyFill="1" applyAlignment="1">
      <alignment horizontal="left" vertical="center" wrapText="1"/>
    </xf>
    <xf numFmtId="0" fontId="32" fillId="4" borderId="18" xfId="0" applyFont="1" applyFill="1" applyBorder="1" applyAlignment="1">
      <alignment vertical="center"/>
    </xf>
    <xf numFmtId="2" fontId="31" fillId="4" borderId="0" xfId="0" applyNumberFormat="1" applyFont="1" applyFill="1" applyAlignment="1">
      <alignment horizontal="center" vertical="center"/>
    </xf>
    <xf numFmtId="0" fontId="30" fillId="3" borderId="25" xfId="3" applyFont="1" applyFill="1" applyBorder="1" applyAlignment="1">
      <alignment horizontal="center" vertical="center"/>
    </xf>
    <xf numFmtId="2" fontId="30" fillId="3" borderId="25" xfId="3" applyNumberFormat="1" applyFont="1" applyFill="1" applyBorder="1" applyAlignment="1">
      <alignment horizontal="center" vertical="center"/>
    </xf>
    <xf numFmtId="0" fontId="33" fillId="0" borderId="28" xfId="0" quotePrefix="1" applyFont="1" applyBorder="1" applyAlignment="1">
      <alignment horizontal="left" vertical="top"/>
    </xf>
    <xf numFmtId="0" fontId="33" fillId="0" borderId="25" xfId="0" applyFont="1" applyBorder="1" applyAlignment="1">
      <alignment horizontal="left" vertical="top" wrapText="1"/>
    </xf>
    <xf numFmtId="4" fontId="33" fillId="0" borderId="25" xfId="0" applyNumberFormat="1" applyFont="1" applyBorder="1" applyAlignment="1">
      <alignment horizontal="center" vertical="top"/>
    </xf>
    <xf numFmtId="2" fontId="33" fillId="0" borderId="25" xfId="0" applyNumberFormat="1" applyFont="1" applyBorder="1" applyAlignment="1">
      <alignment horizontal="right" vertical="top"/>
    </xf>
    <xf numFmtId="0" fontId="33" fillId="0" borderId="25" xfId="3" applyFont="1" applyBorder="1" applyAlignment="1">
      <alignment vertical="center"/>
    </xf>
    <xf numFmtId="44" fontId="33" fillId="0" borderId="25" xfId="5" applyFont="1" applyBorder="1" applyAlignment="1">
      <alignment vertical="center"/>
    </xf>
    <xf numFmtId="0" fontId="33" fillId="0" borderId="0" xfId="3" applyFont="1" applyAlignment="1">
      <alignment vertical="center"/>
    </xf>
    <xf numFmtId="0" fontId="30" fillId="0" borderId="28" xfId="0" quotePrefix="1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 wrapText="1"/>
    </xf>
    <xf numFmtId="4" fontId="30" fillId="0" borderId="25" xfId="0" applyNumberFormat="1" applyFont="1" applyBorder="1" applyAlignment="1">
      <alignment horizontal="center" vertical="top"/>
    </xf>
    <xf numFmtId="2" fontId="29" fillId="0" borderId="25" xfId="0" applyNumberFormat="1" applyFont="1" applyBorder="1" applyAlignment="1">
      <alignment horizontal="right" vertical="top"/>
    </xf>
    <xf numFmtId="2" fontId="30" fillId="0" borderId="25" xfId="0" applyNumberFormat="1" applyFont="1" applyBorder="1" applyAlignment="1">
      <alignment horizontal="right" vertical="top"/>
    </xf>
    <xf numFmtId="0" fontId="30" fillId="0" borderId="25" xfId="3" applyFont="1" applyBorder="1" applyAlignment="1">
      <alignment vertical="center"/>
    </xf>
    <xf numFmtId="44" fontId="30" fillId="0" borderId="25" xfId="5" applyFont="1" applyBorder="1" applyAlignment="1">
      <alignment vertical="center"/>
    </xf>
    <xf numFmtId="0" fontId="30" fillId="0" borderId="0" xfId="3" applyFont="1" applyAlignment="1">
      <alignment vertical="center"/>
    </xf>
    <xf numFmtId="0" fontId="34" fillId="0" borderId="28" xfId="0" quotePrefix="1" applyFont="1" applyBorder="1" applyAlignment="1">
      <alignment horizontal="left" vertical="top"/>
    </xf>
    <xf numFmtId="0" fontId="34" fillId="0" borderId="25" xfId="0" applyFont="1" applyBorder="1" applyAlignment="1">
      <alignment horizontal="left" vertical="top" wrapText="1"/>
    </xf>
    <xf numFmtId="4" fontId="34" fillId="0" borderId="25" xfId="0" applyNumberFormat="1" applyFont="1" applyBorder="1" applyAlignment="1">
      <alignment horizontal="center" vertical="top"/>
    </xf>
    <xf numFmtId="2" fontId="35" fillId="0" borderId="25" xfId="0" applyNumberFormat="1" applyFont="1" applyBorder="1" applyAlignment="1">
      <alignment horizontal="right" vertical="top"/>
    </xf>
    <xf numFmtId="2" fontId="34" fillId="0" borderId="25" xfId="0" applyNumberFormat="1" applyFont="1" applyBorder="1" applyAlignment="1">
      <alignment horizontal="right" vertical="top"/>
    </xf>
    <xf numFmtId="0" fontId="34" fillId="0" borderId="25" xfId="3" applyFont="1" applyBorder="1" applyAlignment="1">
      <alignment vertical="center"/>
    </xf>
    <xf numFmtId="44" fontId="34" fillId="0" borderId="25" xfId="5" applyFont="1" applyBorder="1" applyAlignment="1">
      <alignment vertical="center"/>
    </xf>
    <xf numFmtId="0" fontId="34" fillId="0" borderId="0" xfId="3" applyFont="1" applyAlignment="1">
      <alignment vertical="center"/>
    </xf>
    <xf numFmtId="2" fontId="36" fillId="0" borderId="25" xfId="0" applyNumberFormat="1" applyFont="1" applyBorder="1" applyAlignment="1">
      <alignment horizontal="right" vertical="top"/>
    </xf>
    <xf numFmtId="0" fontId="37" fillId="0" borderId="0" xfId="0" applyFont="1" applyAlignment="1">
      <alignment vertical="center"/>
    </xf>
    <xf numFmtId="0" fontId="38" fillId="0" borderId="28" xfId="0" applyFont="1" applyBorder="1" applyAlignment="1">
      <alignment horizontal="left" vertical="top" wrapText="1"/>
    </xf>
    <xf numFmtId="0" fontId="38" fillId="0" borderId="25" xfId="0" applyFont="1" applyBorder="1" applyAlignment="1">
      <alignment horizontal="left" vertical="top" wrapText="1"/>
    </xf>
    <xf numFmtId="0" fontId="30" fillId="6" borderId="25" xfId="3" applyFont="1" applyFill="1" applyBorder="1" applyAlignment="1">
      <alignment vertical="center"/>
    </xf>
    <xf numFmtId="0" fontId="39" fillId="0" borderId="28" xfId="0" quotePrefix="1" applyFont="1" applyBorder="1" applyAlignment="1">
      <alignment horizontal="left" vertical="top"/>
    </xf>
    <xf numFmtId="0" fontId="39" fillId="0" borderId="25" xfId="0" applyFont="1" applyBorder="1" applyAlignment="1">
      <alignment horizontal="left" vertical="top" wrapText="1" indent="2"/>
    </xf>
    <xf numFmtId="4" fontId="39" fillId="0" borderId="25" xfId="0" applyNumberFormat="1" applyFont="1" applyBorder="1" applyAlignment="1">
      <alignment horizontal="center" vertical="top"/>
    </xf>
    <xf numFmtId="2" fontId="39" fillId="0" borderId="25" xfId="0" applyNumberFormat="1" applyFont="1" applyBorder="1" applyAlignment="1">
      <alignment horizontal="right" vertical="top"/>
    </xf>
    <xf numFmtId="0" fontId="39" fillId="0" borderId="25" xfId="3" applyFont="1" applyBorder="1" applyAlignment="1">
      <alignment vertical="center"/>
    </xf>
    <xf numFmtId="44" fontId="39" fillId="0" borderId="25" xfId="5" applyFont="1" applyBorder="1" applyAlignment="1">
      <alignment vertical="center"/>
    </xf>
    <xf numFmtId="0" fontId="39" fillId="0" borderId="0" xfId="3" applyFont="1" applyAlignment="1">
      <alignment vertical="center"/>
    </xf>
    <xf numFmtId="0" fontId="40" fillId="0" borderId="28" xfId="0" applyFont="1" applyBorder="1" applyAlignment="1">
      <alignment horizontal="left" vertical="top" wrapText="1"/>
    </xf>
    <xf numFmtId="0" fontId="40" fillId="0" borderId="25" xfId="0" applyFont="1" applyBorder="1" applyAlignment="1">
      <alignment horizontal="left" vertical="top" wrapText="1"/>
    </xf>
    <xf numFmtId="0" fontId="31" fillId="0" borderId="25" xfId="0" applyFont="1" applyBorder="1"/>
    <xf numFmtId="0" fontId="33" fillId="0" borderId="28" xfId="0" quotePrefix="1" applyFont="1" applyBorder="1" applyAlignment="1">
      <alignment horizontal="left" vertical="top" wrapText="1"/>
    </xf>
    <xf numFmtId="0" fontId="34" fillId="0" borderId="28" xfId="0" quotePrefix="1" applyFont="1" applyBorder="1" applyAlignment="1">
      <alignment horizontal="left" vertical="top" wrapText="1"/>
    </xf>
    <xf numFmtId="4" fontId="35" fillId="0" borderId="25" xfId="0" applyNumberFormat="1" applyFont="1" applyBorder="1" applyAlignment="1">
      <alignment horizontal="center" vertical="top"/>
    </xf>
    <xf numFmtId="4" fontId="29" fillId="0" borderId="25" xfId="0" applyNumberFormat="1" applyFont="1" applyBorder="1" applyAlignment="1">
      <alignment horizontal="center" vertical="top"/>
    </xf>
    <xf numFmtId="0" fontId="41" fillId="0" borderId="28" xfId="0" quotePrefix="1" applyFont="1" applyBorder="1" applyAlignment="1">
      <alignment horizontal="left" vertical="top"/>
    </xf>
    <xf numFmtId="0" fontId="41" fillId="0" borderId="25" xfId="0" applyFont="1" applyBorder="1" applyAlignment="1">
      <alignment horizontal="left" vertical="top" wrapText="1" indent="1"/>
    </xf>
    <xf numFmtId="4" fontId="41" fillId="0" borderId="25" xfId="0" applyNumberFormat="1" applyFont="1" applyBorder="1" applyAlignment="1">
      <alignment horizontal="center" vertical="top"/>
    </xf>
    <xf numFmtId="2" fontId="41" fillId="0" borderId="25" xfId="0" applyNumberFormat="1" applyFont="1" applyBorder="1" applyAlignment="1">
      <alignment horizontal="right" vertical="top"/>
    </xf>
    <xf numFmtId="0" fontId="41" fillId="0" borderId="25" xfId="3" applyFont="1" applyBorder="1" applyAlignment="1">
      <alignment vertical="center"/>
    </xf>
    <xf numFmtId="44" fontId="41" fillId="0" borderId="25" xfId="5" applyFont="1" applyBorder="1" applyAlignment="1">
      <alignment vertical="center"/>
    </xf>
    <xf numFmtId="0" fontId="41" fillId="0" borderId="0" xfId="3" applyFont="1" applyAlignment="1">
      <alignment vertical="center"/>
    </xf>
    <xf numFmtId="0" fontId="41" fillId="0" borderId="15" xfId="0" quotePrefix="1" applyFont="1" applyBorder="1" applyAlignment="1">
      <alignment horizontal="left" vertical="top"/>
    </xf>
    <xf numFmtId="0" fontId="41" fillId="0" borderId="15" xfId="0" applyFont="1" applyBorder="1" applyAlignment="1">
      <alignment horizontal="left" vertical="top" wrapText="1" indent="1"/>
    </xf>
    <xf numFmtId="4" fontId="41" fillId="0" borderId="15" xfId="0" applyNumberFormat="1" applyFont="1" applyBorder="1" applyAlignment="1">
      <alignment horizontal="center" vertical="top"/>
    </xf>
    <xf numFmtId="2" fontId="41" fillId="0" borderId="15" xfId="0" applyNumberFormat="1" applyFont="1" applyBorder="1" applyAlignment="1">
      <alignment horizontal="right" vertical="top"/>
    </xf>
    <xf numFmtId="44" fontId="41" fillId="0" borderId="0" xfId="5" applyFont="1" applyAlignment="1">
      <alignment vertical="center"/>
    </xf>
    <xf numFmtId="0" fontId="41" fillId="0" borderId="24" xfId="0" quotePrefix="1" applyFont="1" applyBorder="1" applyAlignment="1">
      <alignment horizontal="left" vertical="top"/>
    </xf>
    <xf numFmtId="0" fontId="41" fillId="0" borderId="24" xfId="0" applyFont="1" applyBorder="1" applyAlignment="1">
      <alignment horizontal="left" vertical="top" wrapText="1" indent="1"/>
    </xf>
    <xf numFmtId="4" fontId="41" fillId="0" borderId="24" xfId="0" applyNumberFormat="1" applyFont="1" applyBorder="1" applyAlignment="1">
      <alignment horizontal="center" vertical="top"/>
    </xf>
    <xf numFmtId="2" fontId="41" fillId="0" borderId="24" xfId="0" applyNumberFormat="1" applyFont="1" applyBorder="1" applyAlignment="1">
      <alignment horizontal="right" vertical="top"/>
    </xf>
    <xf numFmtId="0" fontId="41" fillId="0" borderId="15" xfId="3" quotePrefix="1" applyFont="1" applyBorder="1" applyAlignment="1" applyProtection="1">
      <alignment horizontal="left" vertical="top"/>
      <protection locked="0"/>
    </xf>
    <xf numFmtId="0" fontId="41" fillId="0" borderId="15" xfId="3" applyFont="1" applyBorder="1" applyAlignment="1" applyProtection="1">
      <alignment horizontal="left" vertical="top" wrapText="1" indent="1"/>
      <protection locked="0"/>
    </xf>
    <xf numFmtId="0" fontId="41" fillId="0" borderId="15" xfId="3" applyFont="1" applyBorder="1" applyAlignment="1" applyProtection="1">
      <alignment horizontal="center" vertical="top"/>
      <protection locked="0"/>
    </xf>
    <xf numFmtId="2" fontId="41" fillId="0" borderId="15" xfId="3" applyNumberFormat="1" applyFont="1" applyBorder="1" applyAlignment="1">
      <alignment horizontal="right" vertical="top"/>
    </xf>
    <xf numFmtId="0" fontId="41" fillId="0" borderId="0" xfId="3" quotePrefix="1" applyFont="1" applyAlignment="1" applyProtection="1">
      <alignment horizontal="left" vertical="top"/>
      <protection locked="0"/>
    </xf>
    <xf numFmtId="0" fontId="41" fillId="0" borderId="0" xfId="3" applyFont="1" applyAlignment="1" applyProtection="1">
      <alignment horizontal="left" vertical="top" wrapText="1" indent="1"/>
      <protection locked="0"/>
    </xf>
    <xf numFmtId="0" fontId="41" fillId="0" borderId="0" xfId="3" applyFont="1" applyAlignment="1" applyProtection="1">
      <alignment horizontal="center" vertical="top"/>
      <protection locked="0"/>
    </xf>
    <xf numFmtId="2" fontId="41" fillId="0" borderId="0" xfId="3" applyNumberFormat="1" applyFont="1" applyAlignment="1">
      <alignment horizontal="right" vertical="top"/>
    </xf>
    <xf numFmtId="0" fontId="41" fillId="0" borderId="0" xfId="3" applyFont="1" applyAlignment="1" applyProtection="1">
      <alignment horizontal="left" vertical="top"/>
      <protection locked="0"/>
    </xf>
    <xf numFmtId="0" fontId="29" fillId="0" borderId="0" xfId="3" applyFont="1" applyAlignment="1" applyProtection="1">
      <alignment horizontal="left" vertical="top"/>
      <protection locked="0"/>
    </xf>
    <xf numFmtId="0" fontId="29" fillId="0" borderId="0" xfId="3" applyFont="1" applyAlignment="1" applyProtection="1">
      <alignment vertical="top" wrapText="1"/>
      <protection locked="0"/>
    </xf>
    <xf numFmtId="0" fontId="29" fillId="0" borderId="0" xfId="3" applyFont="1" applyAlignment="1" applyProtection="1">
      <alignment horizontal="center" vertical="top"/>
      <protection locked="0"/>
    </xf>
    <xf numFmtId="2" fontId="29" fillId="0" borderId="0" xfId="3" applyNumberFormat="1" applyFont="1" applyAlignment="1">
      <alignment horizontal="right" vertical="top"/>
    </xf>
    <xf numFmtId="0" fontId="30" fillId="0" borderId="0" xfId="3" applyFont="1" applyAlignment="1" applyProtection="1">
      <alignment horizontal="left" vertical="top"/>
      <protection locked="0"/>
    </xf>
    <xf numFmtId="0" fontId="30" fillId="0" borderId="0" xfId="3" applyFont="1" applyAlignment="1" applyProtection="1">
      <alignment vertical="top" wrapText="1"/>
      <protection locked="0"/>
    </xf>
    <xf numFmtId="0" fontId="30" fillId="0" borderId="0" xfId="3" applyFont="1" applyAlignment="1" applyProtection="1">
      <alignment horizontal="center" vertical="top"/>
      <protection locked="0"/>
    </xf>
    <xf numFmtId="2" fontId="30" fillId="0" borderId="0" xfId="3" applyNumberFormat="1" applyFont="1" applyAlignment="1">
      <alignment horizontal="right" vertical="top"/>
    </xf>
    <xf numFmtId="44" fontId="30" fillId="0" borderId="0" xfId="5" applyFont="1" applyAlignment="1">
      <alignment vertical="center"/>
    </xf>
    <xf numFmtId="0" fontId="30" fillId="0" borderId="0" xfId="3" quotePrefix="1" applyFont="1" applyAlignment="1" applyProtection="1">
      <alignment horizontal="left" vertical="top"/>
      <protection locked="0"/>
    </xf>
    <xf numFmtId="0" fontId="30" fillId="0" borderId="0" xfId="0" quotePrefix="1" applyFont="1" applyAlignment="1">
      <alignment horizontal="left" vertical="top"/>
    </xf>
    <xf numFmtId="0" fontId="30" fillId="0" borderId="0" xfId="0" applyFont="1" applyAlignment="1" applyProtection="1">
      <alignment vertical="top" wrapText="1"/>
      <protection locked="0"/>
    </xf>
    <xf numFmtId="0" fontId="30" fillId="0" borderId="0" xfId="0" applyFont="1" applyAlignment="1" applyProtection="1">
      <alignment horizontal="center" vertical="top"/>
      <protection locked="0"/>
    </xf>
    <xf numFmtId="2" fontId="30" fillId="0" borderId="0" xfId="0" applyNumberFormat="1" applyFont="1" applyAlignment="1">
      <alignment horizontal="right" vertical="top"/>
    </xf>
    <xf numFmtId="0" fontId="29" fillId="0" borderId="0" xfId="0" quotePrefix="1" applyFont="1" applyAlignment="1">
      <alignment horizontal="left" vertical="top"/>
    </xf>
    <xf numFmtId="0" fontId="29" fillId="0" borderId="0" xfId="0" applyFont="1" applyAlignment="1" applyProtection="1">
      <alignment vertical="top" wrapText="1"/>
      <protection locked="0"/>
    </xf>
    <xf numFmtId="0" fontId="29" fillId="0" borderId="0" xfId="0" applyFont="1" applyAlignment="1" applyProtection="1">
      <alignment horizontal="center" vertical="top"/>
      <protection locked="0"/>
    </xf>
    <xf numFmtId="2" fontId="29" fillId="0" borderId="0" xfId="0" applyNumberFormat="1" applyFont="1" applyAlignment="1">
      <alignment horizontal="right" vertical="top"/>
    </xf>
    <xf numFmtId="0" fontId="29" fillId="0" borderId="0" xfId="0" applyFont="1" applyAlignment="1">
      <alignment vertical="top" wrapText="1"/>
    </xf>
    <xf numFmtId="0" fontId="29" fillId="0" borderId="0" xfId="0" applyFont="1" applyAlignment="1">
      <alignment horizontal="center" vertical="top"/>
    </xf>
    <xf numFmtId="49" fontId="30" fillId="0" borderId="0" xfId="0" applyNumberFormat="1" applyFont="1" applyAlignment="1">
      <alignment vertical="top" wrapText="1"/>
    </xf>
    <xf numFmtId="0" fontId="30" fillId="0" borderId="0" xfId="0" applyFont="1" applyAlignment="1" applyProtection="1">
      <alignment horizontal="left" vertical="top" wrapText="1"/>
      <protection locked="0"/>
    </xf>
    <xf numFmtId="0" fontId="29" fillId="0" borderId="0" xfId="0" applyFont="1" applyAlignment="1" applyProtection="1">
      <alignment horizontal="left" vertical="top" wrapText="1" indent="2"/>
      <protection locked="0"/>
    </xf>
    <xf numFmtId="0" fontId="30" fillId="0" borderId="0" xfId="0" applyFont="1" applyAlignment="1" applyProtection="1">
      <alignment horizontal="left" vertical="top" wrapText="1" indent="1"/>
      <protection locked="0"/>
    </xf>
    <xf numFmtId="0" fontId="30" fillId="0" borderId="0" xfId="0" quotePrefix="1" applyFont="1" applyAlignment="1" applyProtection="1">
      <alignment horizontal="left" vertical="top"/>
      <protection locked="0"/>
    </xf>
    <xf numFmtId="2" fontId="30" fillId="0" borderId="0" xfId="0" applyNumberFormat="1" applyFont="1" applyAlignment="1" applyProtection="1">
      <alignment horizontal="right" vertical="top"/>
      <protection locked="0"/>
    </xf>
    <xf numFmtId="0" fontId="29" fillId="0" borderId="0" xfId="0" applyFont="1" applyAlignment="1" applyProtection="1">
      <alignment horizontal="left" vertical="top"/>
      <protection locked="0"/>
    </xf>
    <xf numFmtId="2" fontId="29" fillId="0" borderId="0" xfId="0" applyNumberFormat="1" applyFont="1" applyAlignment="1" applyProtection="1">
      <alignment horizontal="right" vertical="top"/>
      <protection locked="0"/>
    </xf>
    <xf numFmtId="0" fontId="30" fillId="0" borderId="0" xfId="0" applyFont="1" applyAlignment="1" applyProtection="1">
      <alignment horizontal="left" vertical="top"/>
      <protection locked="0"/>
    </xf>
    <xf numFmtId="0" fontId="30" fillId="0" borderId="0" xfId="0" applyFont="1" applyAlignment="1" applyProtection="1">
      <alignment horizontal="left" vertical="top" indent="1"/>
      <protection locked="0"/>
    </xf>
    <xf numFmtId="0" fontId="29" fillId="0" borderId="0" xfId="3" applyFont="1" applyAlignment="1">
      <alignment horizontal="left" vertical="center"/>
    </xf>
    <xf numFmtId="0" fontId="30" fillId="0" borderId="0" xfId="3" applyFont="1" applyAlignment="1">
      <alignment horizontal="center" vertical="center"/>
    </xf>
    <xf numFmtId="2" fontId="30" fillId="0" borderId="0" xfId="3" applyNumberFormat="1" applyFont="1" applyAlignment="1">
      <alignment horizontal="center" vertical="center"/>
    </xf>
    <xf numFmtId="2" fontId="29" fillId="0" borderId="0" xfId="3" applyNumberFormat="1" applyFont="1" applyAlignment="1">
      <alignment horizontal="right" vertical="center"/>
    </xf>
    <xf numFmtId="2" fontId="29" fillId="0" borderId="0" xfId="3" applyNumberFormat="1" applyFont="1" applyAlignment="1">
      <alignment horizontal="center" vertical="center"/>
    </xf>
    <xf numFmtId="2" fontId="30" fillId="0" borderId="0" xfId="3" applyNumberFormat="1" applyFont="1" applyAlignment="1">
      <alignment vertical="center"/>
    </xf>
    <xf numFmtId="166" fontId="29" fillId="2" borderId="0" xfId="3" applyNumberFormat="1" applyFont="1" applyFill="1" applyAlignment="1">
      <alignment vertical="center"/>
    </xf>
    <xf numFmtId="166" fontId="33" fillId="0" borderId="25" xfId="3" applyNumberFormat="1" applyFont="1" applyBorder="1" applyAlignment="1">
      <alignment vertical="center"/>
    </xf>
    <xf numFmtId="166" fontId="30" fillId="0" borderId="25" xfId="3" applyNumberFormat="1" applyFont="1" applyBorder="1" applyAlignment="1">
      <alignment vertical="center"/>
    </xf>
    <xf numFmtId="166" fontId="34" fillId="0" borderId="25" xfId="3" applyNumberFormat="1" applyFont="1" applyBorder="1" applyAlignment="1">
      <alignment vertical="center"/>
    </xf>
    <xf numFmtId="166" fontId="39" fillId="0" borderId="25" xfId="3" applyNumberFormat="1" applyFont="1" applyBorder="1" applyAlignment="1">
      <alignment vertical="center"/>
    </xf>
    <xf numFmtId="166" fontId="30" fillId="7" borderId="25" xfId="3" applyNumberFormat="1" applyFont="1" applyFill="1" applyBorder="1" applyAlignment="1">
      <alignment vertical="center"/>
    </xf>
    <xf numFmtId="166" fontId="41" fillId="0" borderId="25" xfId="3" applyNumberFormat="1" applyFont="1" applyBorder="1" applyAlignment="1">
      <alignment vertical="center"/>
    </xf>
    <xf numFmtId="166" fontId="41" fillId="0" borderId="0" xfId="3" applyNumberFormat="1" applyFont="1" applyAlignment="1">
      <alignment vertical="center"/>
    </xf>
    <xf numFmtId="166" fontId="29" fillId="0" borderId="0" xfId="3" applyNumberFormat="1" applyFont="1" applyAlignment="1">
      <alignment vertical="center"/>
    </xf>
    <xf numFmtId="166" fontId="30" fillId="0" borderId="0" xfId="3" applyNumberFormat="1" applyFont="1" applyAlignment="1">
      <alignment vertical="center"/>
    </xf>
    <xf numFmtId="0" fontId="29" fillId="5" borderId="25" xfId="3" applyFont="1" applyFill="1" applyBorder="1" applyAlignment="1">
      <alignment horizontal="center" vertical="center" wrapText="1"/>
    </xf>
    <xf numFmtId="166" fontId="29" fillId="5" borderId="25" xfId="3" applyNumberFormat="1" applyFont="1" applyFill="1" applyBorder="1" applyAlignment="1">
      <alignment horizontal="center" vertical="center" wrapText="1"/>
    </xf>
    <xf numFmtId="44" fontId="29" fillId="5" borderId="25" xfId="5" applyFont="1" applyFill="1" applyBorder="1" applyAlignment="1">
      <alignment horizontal="center" vertical="center" wrapText="1"/>
    </xf>
    <xf numFmtId="0" fontId="29" fillId="2" borderId="9" xfId="3" applyFont="1" applyFill="1" applyBorder="1" applyAlignment="1">
      <alignment horizontal="center" vertical="center"/>
    </xf>
    <xf numFmtId="0" fontId="29" fillId="2" borderId="10" xfId="3" applyFont="1" applyFill="1" applyBorder="1" applyAlignment="1">
      <alignment horizontal="center" vertical="center"/>
    </xf>
    <xf numFmtId="0" fontId="29" fillId="2" borderId="11" xfId="3" applyFont="1" applyFill="1" applyBorder="1" applyAlignment="1">
      <alignment horizontal="center" vertical="center"/>
    </xf>
    <xf numFmtId="0" fontId="30" fillId="3" borderId="26" xfId="3" applyFont="1" applyFill="1" applyBorder="1" applyAlignment="1">
      <alignment horizontal="center" vertical="center"/>
    </xf>
    <xf numFmtId="0" fontId="30" fillId="3" borderId="27" xfId="3" applyFont="1" applyFill="1" applyBorder="1" applyAlignment="1">
      <alignment horizontal="center" vertical="center"/>
    </xf>
    <xf numFmtId="0" fontId="30" fillId="3" borderId="25" xfId="3" applyFont="1" applyFill="1" applyBorder="1" applyAlignment="1">
      <alignment horizontal="center" vertical="center"/>
    </xf>
    <xf numFmtId="0" fontId="30" fillId="3" borderId="25" xfId="3" applyFont="1" applyFill="1" applyBorder="1" applyAlignment="1">
      <alignment horizontal="center" vertical="center" textRotation="90"/>
    </xf>
    <xf numFmtId="2" fontId="30" fillId="3" borderId="25" xfId="3" applyNumberFormat="1" applyFont="1" applyFill="1" applyBorder="1" applyAlignment="1">
      <alignment horizontal="center" vertical="center"/>
    </xf>
    <xf numFmtId="0" fontId="30" fillId="5" borderId="25" xfId="3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top" wrapText="1"/>
    </xf>
    <xf numFmtId="0" fontId="32" fillId="4" borderId="17" xfId="0" applyFont="1" applyFill="1" applyBorder="1" applyAlignment="1">
      <alignment horizontal="center" vertical="top" wrapText="1"/>
    </xf>
    <xf numFmtId="2" fontId="30" fillId="3" borderId="25" xfId="3" applyNumberFormat="1" applyFont="1" applyFill="1" applyBorder="1" applyAlignment="1">
      <alignment horizontal="center" vertical="center" textRotation="90" wrapText="1"/>
    </xf>
    <xf numFmtId="0" fontId="4" fillId="2" borderId="4" xfId="3" applyFont="1" applyFill="1" applyBorder="1" applyAlignment="1">
      <alignment horizontal="center" vertical="center" wrapText="1"/>
    </xf>
    <xf numFmtId="0" fontId="14" fillId="2" borderId="9" xfId="3" applyFont="1" applyFill="1" applyBorder="1" applyAlignment="1">
      <alignment horizontal="center" vertical="center"/>
    </xf>
    <xf numFmtId="0" fontId="14" fillId="2" borderId="10" xfId="3" applyFont="1" applyFill="1" applyBorder="1" applyAlignment="1">
      <alignment horizontal="center" vertical="center"/>
    </xf>
    <xf numFmtId="0" fontId="14" fillId="2" borderId="11" xfId="3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top" wrapText="1"/>
    </xf>
    <xf numFmtId="0" fontId="20" fillId="4" borderId="17" xfId="0" applyFont="1" applyFill="1" applyBorder="1" applyAlignment="1">
      <alignment horizontal="center" vertical="top" wrapText="1"/>
    </xf>
    <xf numFmtId="0" fontId="5" fillId="3" borderId="12" xfId="3" applyFont="1" applyFill="1" applyBorder="1" applyAlignment="1">
      <alignment horizontal="center" vertical="center"/>
    </xf>
    <xf numFmtId="0" fontId="5" fillId="3" borderId="21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2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 textRotation="90"/>
    </xf>
    <xf numFmtId="0" fontId="5" fillId="3" borderId="22" xfId="3" applyFont="1" applyFill="1" applyBorder="1" applyAlignment="1">
      <alignment horizontal="center" vertical="center" textRotation="90"/>
    </xf>
    <xf numFmtId="2" fontId="5" fillId="3" borderId="13" xfId="3" applyNumberFormat="1" applyFont="1" applyFill="1" applyBorder="1" applyAlignment="1">
      <alignment horizontal="center" vertical="center" textRotation="90" wrapText="1"/>
    </xf>
    <xf numFmtId="2" fontId="5" fillId="3" borderId="22" xfId="3" applyNumberFormat="1" applyFont="1" applyFill="1" applyBorder="1" applyAlignment="1">
      <alignment horizontal="center" vertical="center" textRotation="90" wrapText="1"/>
    </xf>
    <xf numFmtId="2" fontId="5" fillId="3" borderId="13" xfId="3" applyNumberFormat="1" applyFont="1" applyFill="1" applyBorder="1" applyAlignment="1">
      <alignment horizontal="center" vertical="center"/>
    </xf>
    <xf numFmtId="0" fontId="5" fillId="3" borderId="14" xfId="3" applyFont="1" applyFill="1" applyBorder="1" applyAlignment="1">
      <alignment horizontal="center" vertical="center"/>
    </xf>
    <xf numFmtId="0" fontId="5" fillId="3" borderId="23" xfId="3" applyFont="1" applyFill="1" applyBorder="1" applyAlignment="1">
      <alignment horizontal="center" vertical="center"/>
    </xf>
    <xf numFmtId="44" fontId="30" fillId="8" borderId="25" xfId="5" applyFont="1" applyFill="1" applyBorder="1" applyAlignment="1">
      <alignment vertical="center"/>
    </xf>
  </cellXfs>
  <cellStyles count="6">
    <cellStyle name="Currency" xfId="5" builtinId="4"/>
    <cellStyle name="Euro" xfId="1" xr:uid="{00000000-0005-0000-0000-000000000000}"/>
    <cellStyle name="Euro 2" xfId="2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</cellStyles>
  <dxfs count="0"/>
  <tableStyles count="0" defaultTableStyle="TableStyleMedium9" defaultPivotStyle="PivotStyleLight16"/>
  <colors>
    <mruColors>
      <color rgb="FF003300"/>
      <color rgb="FF0080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247650</xdr:colOff>
          <xdr:row>8</xdr:row>
          <xdr:rowOff>247650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650</xdr:row>
      <xdr:rowOff>0</xdr:rowOff>
    </xdr:from>
    <xdr:to>
      <xdr:col>1</xdr:col>
      <xdr:colOff>737523</xdr:colOff>
      <xdr:row>653</xdr:row>
      <xdr:rowOff>173021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842446"/>
          <a:ext cx="1314743" cy="6126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650</xdr:row>
      <xdr:rowOff>0</xdr:rowOff>
    </xdr:from>
    <xdr:to>
      <xdr:col>1</xdr:col>
      <xdr:colOff>580154</xdr:colOff>
      <xdr:row>654</xdr:row>
      <xdr:rowOff>96821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135075"/>
          <a:ext cx="1294529" cy="7445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N44"/>
  <sheetViews>
    <sheetView topLeftCell="M1" workbookViewId="0">
      <selection activeCell="AG14" sqref="AG14"/>
    </sheetView>
  </sheetViews>
  <sheetFormatPr defaultColWidth="7.42578125" defaultRowHeight="12.75"/>
  <sheetData>
    <row r="1" spans="1:40" ht="25.5">
      <c r="A1" s="5" t="s">
        <v>32</v>
      </c>
      <c r="B1" s="5" t="s">
        <v>30</v>
      </c>
      <c r="D1" t="s">
        <v>44</v>
      </c>
      <c r="F1" t="s">
        <v>157</v>
      </c>
      <c r="G1" t="s">
        <v>158</v>
      </c>
      <c r="K1" s="5" t="s">
        <v>117</v>
      </c>
      <c r="L1" s="5" t="s">
        <v>116</v>
      </c>
      <c r="O1" s="6" t="s">
        <v>31</v>
      </c>
      <c r="P1" s="6" t="s">
        <v>29</v>
      </c>
      <c r="R1" t="s">
        <v>52</v>
      </c>
      <c r="S1" s="5" t="s">
        <v>115</v>
      </c>
      <c r="T1" t="s">
        <v>54</v>
      </c>
      <c r="U1" t="s">
        <v>55</v>
      </c>
      <c r="AC1" s="16" t="s">
        <v>56</v>
      </c>
      <c r="AD1" s="16" t="s">
        <v>53</v>
      </c>
      <c r="AE1" s="16" t="s">
        <v>57</v>
      </c>
      <c r="AF1" s="16" t="s">
        <v>58</v>
      </c>
      <c r="AG1" s="16" t="s">
        <v>59</v>
      </c>
      <c r="AJ1" s="16"/>
      <c r="AK1" s="16"/>
      <c r="AL1" s="16"/>
      <c r="AM1" s="16"/>
      <c r="AN1" s="16"/>
    </row>
    <row r="2" spans="1:40" ht="13.5">
      <c r="B2">
        <v>1</v>
      </c>
      <c r="D2">
        <v>2</v>
      </c>
      <c r="F2">
        <v>0</v>
      </c>
      <c r="G2">
        <v>0</v>
      </c>
      <c r="K2" s="28" t="s">
        <v>119</v>
      </c>
      <c r="L2" s="28" t="s">
        <v>118</v>
      </c>
      <c r="O2">
        <v>29</v>
      </c>
      <c r="P2">
        <v>0</v>
      </c>
      <c r="R2" s="3" t="s">
        <v>120</v>
      </c>
      <c r="S2" s="4" t="s">
        <v>20</v>
      </c>
      <c r="T2" s="4" t="s">
        <v>48</v>
      </c>
      <c r="U2" s="4" t="s">
        <v>24</v>
      </c>
      <c r="W2" s="3" t="s">
        <v>40</v>
      </c>
      <c r="X2">
        <v>0</v>
      </c>
      <c r="Y2">
        <v>4</v>
      </c>
      <c r="Z2">
        <v>4</v>
      </c>
      <c r="AA2">
        <v>1</v>
      </c>
      <c r="AC2" t="s">
        <v>40</v>
      </c>
      <c r="AD2" t="s">
        <v>60</v>
      </c>
      <c r="AE2" t="s">
        <v>61</v>
      </c>
      <c r="AF2" s="5" t="s">
        <v>58</v>
      </c>
      <c r="AG2" t="s">
        <v>59</v>
      </c>
      <c r="AJ2" t="s">
        <v>40</v>
      </c>
      <c r="AK2" t="s">
        <v>60</v>
      </c>
      <c r="AL2" t="s">
        <v>61</v>
      </c>
      <c r="AM2" s="5" t="s">
        <v>58</v>
      </c>
      <c r="AN2" t="s">
        <v>59</v>
      </c>
    </row>
    <row r="3" spans="1:40" ht="13.5">
      <c r="R3" s="3" t="s">
        <v>121</v>
      </c>
      <c r="S3" s="4" t="s">
        <v>21</v>
      </c>
      <c r="T3" s="4" t="s">
        <v>28</v>
      </c>
      <c r="U3" s="4" t="s">
        <v>25</v>
      </c>
      <c r="W3" s="3" t="s">
        <v>43</v>
      </c>
      <c r="X3" s="15" t="s">
        <v>40</v>
      </c>
      <c r="Y3" s="15" t="s">
        <v>42</v>
      </c>
      <c r="Z3" s="15" t="s">
        <v>42</v>
      </c>
      <c r="AC3" t="s">
        <v>42</v>
      </c>
      <c r="AD3" t="s">
        <v>62</v>
      </c>
      <c r="AE3" s="5" t="s">
        <v>70</v>
      </c>
      <c r="AF3" s="5" t="s">
        <v>71</v>
      </c>
      <c r="AG3" t="s">
        <v>138</v>
      </c>
      <c r="AJ3" t="s">
        <v>42</v>
      </c>
      <c r="AK3" t="s">
        <v>62</v>
      </c>
      <c r="AL3" s="5" t="s">
        <v>70</v>
      </c>
      <c r="AM3" s="5" t="s">
        <v>71</v>
      </c>
      <c r="AN3" t="s">
        <v>138</v>
      </c>
    </row>
    <row r="4" spans="1:40" ht="13.5">
      <c r="D4" t="s">
        <v>45</v>
      </c>
      <c r="R4" s="3" t="s">
        <v>129</v>
      </c>
      <c r="S4" s="4" t="s">
        <v>46</v>
      </c>
      <c r="T4" s="4" t="s">
        <v>49</v>
      </c>
      <c r="U4" s="4" t="s">
        <v>20</v>
      </c>
      <c r="W4" s="3" t="s">
        <v>39</v>
      </c>
      <c r="AC4" t="s">
        <v>74</v>
      </c>
      <c r="AD4" t="s">
        <v>63</v>
      </c>
      <c r="AE4" t="s">
        <v>64</v>
      </c>
      <c r="AF4" s="5" t="s">
        <v>149</v>
      </c>
      <c r="AG4" s="5" t="s">
        <v>154</v>
      </c>
      <c r="AJ4" t="s">
        <v>74</v>
      </c>
      <c r="AK4" t="s">
        <v>63</v>
      </c>
      <c r="AL4" t="s">
        <v>64</v>
      </c>
      <c r="AM4" s="5" t="s">
        <v>149</v>
      </c>
      <c r="AN4" s="5" t="s">
        <v>139</v>
      </c>
    </row>
    <row r="5" spans="1:40" ht="13.5">
      <c r="D5">
        <v>1</v>
      </c>
      <c r="R5" s="3" t="s">
        <v>122</v>
      </c>
      <c r="S5" s="4" t="s">
        <v>47</v>
      </c>
      <c r="T5" s="4" t="s">
        <v>50</v>
      </c>
      <c r="U5" s="4" t="s">
        <v>26</v>
      </c>
      <c r="W5" s="3" t="s">
        <v>41</v>
      </c>
      <c r="AC5" t="s">
        <v>43</v>
      </c>
      <c r="AD5" t="s">
        <v>65</v>
      </c>
      <c r="AE5" t="s">
        <v>67</v>
      </c>
      <c r="AF5" t="s">
        <v>72</v>
      </c>
      <c r="AG5" t="s">
        <v>140</v>
      </c>
      <c r="AJ5" t="s">
        <v>43</v>
      </c>
      <c r="AK5" t="s">
        <v>65</v>
      </c>
      <c r="AL5" t="s">
        <v>67</v>
      </c>
      <c r="AM5" t="s">
        <v>72</v>
      </c>
      <c r="AN5" t="s">
        <v>140</v>
      </c>
    </row>
    <row r="6" spans="1:40" ht="13.5">
      <c r="D6">
        <v>1</v>
      </c>
      <c r="R6" s="3" t="s">
        <v>123</v>
      </c>
      <c r="S6" s="4" t="s">
        <v>22</v>
      </c>
      <c r="T6" s="4" t="s">
        <v>51</v>
      </c>
      <c r="U6" s="4" t="s">
        <v>27</v>
      </c>
      <c r="W6" s="3" t="s">
        <v>42</v>
      </c>
      <c r="AC6" t="s">
        <v>39</v>
      </c>
      <c r="AD6" t="s">
        <v>66</v>
      </c>
      <c r="AE6" t="s">
        <v>68</v>
      </c>
      <c r="AF6" t="s">
        <v>73</v>
      </c>
      <c r="AG6" t="s">
        <v>141</v>
      </c>
      <c r="AJ6" t="s">
        <v>39</v>
      </c>
      <c r="AK6" t="s">
        <v>66</v>
      </c>
      <c r="AL6" t="s">
        <v>68</v>
      </c>
      <c r="AM6" t="s">
        <v>73</v>
      </c>
      <c r="AN6" t="s">
        <v>141</v>
      </c>
    </row>
    <row r="7" spans="1:40" ht="13.5">
      <c r="R7" s="3" t="s">
        <v>124</v>
      </c>
      <c r="S7" s="4" t="s">
        <v>23</v>
      </c>
      <c r="T7" s="4" t="s">
        <v>134</v>
      </c>
      <c r="U7" s="4" t="s">
        <v>28</v>
      </c>
      <c r="AC7" s="5" t="s">
        <v>152</v>
      </c>
      <c r="AD7" s="5" t="s">
        <v>151</v>
      </c>
      <c r="AE7" s="5" t="s">
        <v>150</v>
      </c>
      <c r="AG7" t="s">
        <v>142</v>
      </c>
      <c r="AJ7" s="5" t="s">
        <v>152</v>
      </c>
      <c r="AK7" s="5" t="s">
        <v>151</v>
      </c>
      <c r="AL7" s="5" t="s">
        <v>150</v>
      </c>
      <c r="AN7" t="s">
        <v>142</v>
      </c>
    </row>
    <row r="8" spans="1:40" ht="13.5">
      <c r="R8" s="3" t="s">
        <v>125</v>
      </c>
      <c r="S8" s="4" t="s">
        <v>130</v>
      </c>
      <c r="T8" s="4" t="s">
        <v>135</v>
      </c>
      <c r="U8" s="4" t="s">
        <v>50</v>
      </c>
      <c r="AC8" t="s">
        <v>137</v>
      </c>
      <c r="AD8" t="s">
        <v>69</v>
      </c>
      <c r="AE8" t="s">
        <v>136</v>
      </c>
      <c r="AG8" t="s">
        <v>143</v>
      </c>
      <c r="AJ8" t="s">
        <v>137</v>
      </c>
      <c r="AK8" t="s">
        <v>69</v>
      </c>
      <c r="AL8" t="s">
        <v>136</v>
      </c>
      <c r="AN8" t="s">
        <v>143</v>
      </c>
    </row>
    <row r="9" spans="1:40" ht="13.5">
      <c r="R9" s="3" t="s">
        <v>126</v>
      </c>
      <c r="S9" s="4" t="s">
        <v>131</v>
      </c>
      <c r="T9" s="4" t="s">
        <v>48</v>
      </c>
      <c r="U9" s="4" t="s">
        <v>24</v>
      </c>
      <c r="AG9" t="s">
        <v>144</v>
      </c>
      <c r="AN9" t="s">
        <v>144</v>
      </c>
    </row>
    <row r="10" spans="1:40" ht="13.5">
      <c r="R10" s="3" t="s">
        <v>127</v>
      </c>
      <c r="S10" s="4" t="s">
        <v>132</v>
      </c>
      <c r="T10" s="4" t="s">
        <v>27</v>
      </c>
      <c r="U10" s="4" t="s">
        <v>25</v>
      </c>
      <c r="AG10" t="s">
        <v>145</v>
      </c>
      <c r="AN10" t="s">
        <v>145</v>
      </c>
    </row>
    <row r="11" spans="1:40" ht="13.5">
      <c r="R11" s="3" t="s">
        <v>128</v>
      </c>
      <c r="S11" s="4" t="s">
        <v>133</v>
      </c>
      <c r="T11" s="4" t="s">
        <v>49</v>
      </c>
      <c r="U11" s="4" t="s">
        <v>20</v>
      </c>
      <c r="AG11" t="s">
        <v>146</v>
      </c>
      <c r="AN11" t="s">
        <v>146</v>
      </c>
    </row>
    <row r="12" spans="1:40">
      <c r="AG12" t="s">
        <v>147</v>
      </c>
      <c r="AN12" t="s">
        <v>147</v>
      </c>
    </row>
    <row r="13" spans="1:40">
      <c r="AG13" t="s">
        <v>155</v>
      </c>
      <c r="AN13" t="s">
        <v>148</v>
      </c>
    </row>
    <row r="20" spans="1:21" ht="13.5" thickBot="1"/>
    <row r="21" spans="1:21">
      <c r="A21" s="7"/>
      <c r="B21" s="8" t="s">
        <v>6</v>
      </c>
      <c r="C21" s="8"/>
      <c r="D21" s="8"/>
      <c r="E21" s="8"/>
      <c r="F21" s="8"/>
      <c r="G21" s="8"/>
      <c r="H21" s="8"/>
      <c r="I21" s="8"/>
      <c r="J21" s="9"/>
      <c r="K21" s="8"/>
      <c r="L21" s="8"/>
      <c r="M21" s="8"/>
      <c r="N21" s="8" t="s">
        <v>38</v>
      </c>
      <c r="O21" s="8"/>
      <c r="P21" s="8"/>
      <c r="Q21" s="8"/>
      <c r="R21" s="8"/>
      <c r="S21" s="8"/>
      <c r="T21" s="8"/>
      <c r="U21" s="9"/>
    </row>
    <row r="22" spans="1:21">
      <c r="A22" s="10"/>
      <c r="B22" s="5" t="s">
        <v>34</v>
      </c>
      <c r="J22" s="11"/>
      <c r="L22" s="5" t="s">
        <v>35</v>
      </c>
      <c r="N22" s="5" t="s">
        <v>34</v>
      </c>
      <c r="O22" s="5" t="s">
        <v>153</v>
      </c>
      <c r="U22" s="11"/>
    </row>
    <row r="23" spans="1:21">
      <c r="A23" s="10"/>
      <c r="B23">
        <v>49</v>
      </c>
      <c r="J23" s="11"/>
      <c r="L23">
        <v>0</v>
      </c>
      <c r="N23">
        <v>30</v>
      </c>
      <c r="O23">
        <v>13</v>
      </c>
      <c r="U23" s="11"/>
    </row>
    <row r="24" spans="1:21">
      <c r="A24" s="10"/>
      <c r="J24" s="11"/>
      <c r="L24">
        <v>4</v>
      </c>
      <c r="U24" s="11"/>
    </row>
    <row r="25" spans="1:21">
      <c r="A25" s="10"/>
      <c r="J25" s="11"/>
      <c r="U25" s="11"/>
    </row>
    <row r="26" spans="1:21">
      <c r="A26" s="10"/>
      <c r="J26" s="11"/>
      <c r="U26" s="11"/>
    </row>
    <row r="27" spans="1:21">
      <c r="A27" s="10"/>
      <c r="J27" s="11"/>
      <c r="U27" s="11"/>
    </row>
    <row r="28" spans="1:21">
      <c r="A28" s="10"/>
      <c r="J28" s="11"/>
      <c r="U28" s="11"/>
    </row>
    <row r="29" spans="1:21">
      <c r="A29" s="10"/>
      <c r="J29" s="11"/>
      <c r="U29" s="11"/>
    </row>
    <row r="30" spans="1:21">
      <c r="A30" s="10"/>
      <c r="J30" s="11"/>
      <c r="U30" s="11"/>
    </row>
    <row r="31" spans="1:21">
      <c r="A31" s="10"/>
      <c r="J31" s="11"/>
      <c r="U31" s="11"/>
    </row>
    <row r="32" spans="1:21">
      <c r="A32" s="10"/>
      <c r="J32" s="11"/>
      <c r="U32" s="11"/>
    </row>
    <row r="33" spans="1:21">
      <c r="A33" s="10"/>
      <c r="J33" s="11"/>
      <c r="U33" s="11"/>
    </row>
    <row r="34" spans="1:21">
      <c r="A34" s="10"/>
      <c r="J34" s="11"/>
      <c r="U34" s="11"/>
    </row>
    <row r="35" spans="1:21">
      <c r="A35" s="10"/>
      <c r="J35" s="11"/>
      <c r="U35" s="11"/>
    </row>
    <row r="36" spans="1:21">
      <c r="A36" s="10"/>
      <c r="J36" s="11"/>
      <c r="U36" s="11"/>
    </row>
    <row r="37" spans="1:21">
      <c r="A37" s="10"/>
      <c r="J37" s="11"/>
      <c r="U37" s="11"/>
    </row>
    <row r="38" spans="1:21">
      <c r="A38" s="10"/>
      <c r="J38" s="11"/>
      <c r="U38" s="11"/>
    </row>
    <row r="39" spans="1:21">
      <c r="A39" s="10"/>
      <c r="J39" s="11"/>
      <c r="U39" s="11"/>
    </row>
    <row r="40" spans="1:21">
      <c r="A40" s="10"/>
      <c r="J40" s="11"/>
      <c r="U40" s="11"/>
    </row>
    <row r="41" spans="1:21">
      <c r="A41" s="10"/>
      <c r="J41" s="11"/>
      <c r="U41" s="11"/>
    </row>
    <row r="42" spans="1:21">
      <c r="A42" s="10"/>
      <c r="J42" s="11"/>
      <c r="U42" s="11"/>
    </row>
    <row r="43" spans="1:21">
      <c r="A43" s="10"/>
      <c r="J43" s="11"/>
      <c r="U43" s="11"/>
    </row>
    <row r="44" spans="1:21" ht="13.5" thickBot="1">
      <c r="A44" s="12"/>
      <c r="B44" s="13"/>
      <c r="C44" s="13"/>
      <c r="D44" s="13"/>
      <c r="E44" s="13"/>
      <c r="F44" s="13"/>
      <c r="G44" s="13"/>
      <c r="H44" s="13"/>
      <c r="I44" s="13"/>
      <c r="J44" s="14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4"/>
    </row>
  </sheetData>
  <sortState xmlns:xlrd2="http://schemas.microsoft.com/office/spreadsheetml/2017/richdata2" ref="W3:W5">
    <sortCondition ref="W11"/>
  </sortState>
  <pageMargins left="0.7" right="0.7" top="0.75" bottom="0.75" header="0.3" footer="0.3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etrado">
    <pageSetUpPr fitToPage="1"/>
  </sheetPr>
  <dimension ref="A1:T354"/>
  <sheetViews>
    <sheetView tabSelected="1" view="pageBreakPreview" topLeftCell="A12" zoomScale="115" zoomScaleNormal="115" zoomScaleSheetLayoutView="115" workbookViewId="0">
      <selection activeCell="H24" sqref="H24"/>
    </sheetView>
  </sheetViews>
  <sheetFormatPr defaultColWidth="11.42578125" defaultRowHeight="15"/>
  <cols>
    <col min="1" max="1" width="8.28515625" style="151" customWidth="1"/>
    <col min="2" max="2" width="49.28515625" style="275" customWidth="1"/>
    <col min="3" max="3" width="5.42578125" style="276" bestFit="1" customWidth="1"/>
    <col min="4" max="4" width="5" style="277" customWidth="1"/>
    <col min="5" max="5" width="5.5703125" style="278" customWidth="1"/>
    <col min="6" max="6" width="6.5703125" style="278" customWidth="1"/>
    <col min="7" max="7" width="5.5703125" style="278" customWidth="1"/>
    <col min="8" max="8" width="7.85546875" style="279" customWidth="1"/>
    <col min="9" max="10" width="6.5703125" style="279" customWidth="1"/>
    <col min="11" max="12" width="6.5703125" style="278" customWidth="1"/>
    <col min="13" max="13" width="6.5703125" style="151" customWidth="1"/>
    <col min="14" max="14" width="7.85546875" style="280" bestFit="1" customWidth="1"/>
    <col min="15" max="15" width="9.140625" style="151" customWidth="1"/>
    <col min="16" max="16" width="11.85546875" style="289" customWidth="1"/>
    <col min="17" max="17" width="14.5703125" style="149" customWidth="1"/>
    <col min="18" max="19" width="5" style="151" customWidth="1"/>
    <col min="20" max="20" width="3.85546875" style="151" bestFit="1" customWidth="1"/>
    <col min="21" max="21" width="5" style="151" customWidth="1"/>
    <col min="22" max="16384" width="11.42578125" style="151"/>
  </cols>
  <sheetData>
    <row r="1" spans="1:20" ht="23.25" customHeight="1" thickBot="1">
      <c r="A1" s="294" t="s">
        <v>159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6"/>
      <c r="O1" s="148"/>
      <c r="P1" s="281"/>
      <c r="R1" s="150"/>
      <c r="S1" s="150"/>
      <c r="T1" s="150"/>
    </row>
    <row r="2" spans="1:20" ht="12.75" customHeight="1">
      <c r="A2" s="152"/>
      <c r="B2" s="153"/>
      <c r="C2" s="154"/>
      <c r="D2" s="155"/>
      <c r="E2" s="156"/>
      <c r="F2" s="156"/>
      <c r="G2" s="156"/>
      <c r="H2" s="157"/>
      <c r="I2" s="157"/>
      <c r="J2" s="157"/>
      <c r="K2" s="156"/>
      <c r="L2" s="156"/>
      <c r="M2" s="158"/>
      <c r="N2" s="159"/>
      <c r="O2" s="148"/>
      <c r="P2" s="281"/>
      <c r="R2" s="150"/>
      <c r="S2" s="150"/>
      <c r="T2" s="150"/>
    </row>
    <row r="3" spans="1:20" ht="12.75" customHeight="1">
      <c r="A3" s="160" t="s">
        <v>16</v>
      </c>
      <c r="B3" s="303" t="s">
        <v>176</v>
      </c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4"/>
      <c r="O3" s="148"/>
      <c r="P3" s="281"/>
      <c r="R3" s="150"/>
      <c r="S3" s="150"/>
      <c r="T3" s="150"/>
    </row>
    <row r="4" spans="1:20">
      <c r="A4" s="160" t="s">
        <v>15</v>
      </c>
      <c r="B4" s="161" t="s">
        <v>160</v>
      </c>
      <c r="C4" s="162"/>
      <c r="D4" s="163"/>
      <c r="E4" s="164"/>
      <c r="F4" s="164"/>
      <c r="G4" s="165"/>
      <c r="H4" s="163"/>
      <c r="I4" s="163"/>
      <c r="J4" s="164" t="s">
        <v>19</v>
      </c>
      <c r="K4" s="166" t="s">
        <v>175</v>
      </c>
      <c r="L4" s="165"/>
      <c r="M4" s="161"/>
      <c r="N4" s="167"/>
      <c r="O4" s="148"/>
      <c r="P4" s="281"/>
    </row>
    <row r="5" spans="1:20">
      <c r="A5" s="160" t="s">
        <v>36</v>
      </c>
      <c r="B5" s="168" t="s">
        <v>161</v>
      </c>
      <c r="C5" s="169"/>
      <c r="D5" s="170"/>
      <c r="E5" s="164"/>
      <c r="F5" s="164"/>
      <c r="G5" s="171"/>
      <c r="H5" s="171"/>
      <c r="I5" s="171"/>
      <c r="J5" s="164" t="s">
        <v>14</v>
      </c>
      <c r="K5" s="166"/>
      <c r="L5" s="172"/>
      <c r="M5" s="173"/>
      <c r="N5" s="167"/>
      <c r="O5" s="148"/>
      <c r="P5" s="281"/>
    </row>
    <row r="6" spans="1:20">
      <c r="A6" s="160" t="s">
        <v>11</v>
      </c>
      <c r="B6" s="166"/>
      <c r="C6" s="162"/>
      <c r="D6" s="163"/>
      <c r="E6" s="163"/>
      <c r="F6" s="163"/>
      <c r="G6" s="163"/>
      <c r="H6" s="163"/>
      <c r="I6" s="163"/>
      <c r="J6" s="172"/>
      <c r="K6" s="172"/>
      <c r="L6" s="172"/>
      <c r="M6" s="173"/>
      <c r="N6" s="167"/>
      <c r="O6" s="148"/>
      <c r="P6" s="281"/>
    </row>
    <row r="7" spans="1:20">
      <c r="A7" s="160" t="s">
        <v>37</v>
      </c>
      <c r="B7" s="161" t="s">
        <v>177</v>
      </c>
      <c r="C7" s="162"/>
      <c r="D7" s="163"/>
      <c r="E7" s="163"/>
      <c r="F7" s="163"/>
      <c r="G7" s="163"/>
      <c r="H7" s="163"/>
      <c r="I7" s="163"/>
      <c r="J7" s="172"/>
      <c r="K7" s="172"/>
      <c r="L7" s="170"/>
      <c r="M7" s="169"/>
      <c r="N7" s="167"/>
      <c r="O7" s="148"/>
      <c r="P7" s="281"/>
    </row>
    <row r="8" spans="1:20" ht="15.75" thickBot="1">
      <c r="A8" s="174"/>
      <c r="B8" s="161"/>
      <c r="C8" s="162"/>
      <c r="D8" s="163"/>
      <c r="E8" s="166"/>
      <c r="F8" s="170"/>
      <c r="G8" s="171"/>
      <c r="H8" s="175"/>
      <c r="I8" s="175"/>
      <c r="J8" s="175"/>
      <c r="K8" s="171"/>
      <c r="L8" s="171"/>
      <c r="M8" s="169"/>
      <c r="N8" s="167"/>
      <c r="O8" s="148"/>
      <c r="P8" s="281"/>
    </row>
    <row r="9" spans="1:20" ht="24" customHeight="1">
      <c r="A9" s="297" t="s">
        <v>4</v>
      </c>
      <c r="B9" s="299" t="s">
        <v>13</v>
      </c>
      <c r="C9" s="300" t="s">
        <v>18</v>
      </c>
      <c r="D9" s="305" t="s">
        <v>33</v>
      </c>
      <c r="E9" s="301" t="s">
        <v>5</v>
      </c>
      <c r="F9" s="301"/>
      <c r="G9" s="301"/>
      <c r="H9" s="305" t="s">
        <v>17</v>
      </c>
      <c r="I9" s="299" t="s">
        <v>6</v>
      </c>
      <c r="J9" s="299"/>
      <c r="K9" s="299"/>
      <c r="L9" s="299"/>
      <c r="M9" s="299"/>
      <c r="N9" s="302" t="s">
        <v>3</v>
      </c>
      <c r="O9" s="291" t="s">
        <v>217</v>
      </c>
      <c r="P9" s="292" t="s">
        <v>218</v>
      </c>
      <c r="Q9" s="293" t="s">
        <v>219</v>
      </c>
    </row>
    <row r="10" spans="1:20" ht="14.25" customHeight="1" thickBot="1">
      <c r="A10" s="298"/>
      <c r="B10" s="299"/>
      <c r="C10" s="300"/>
      <c r="D10" s="305"/>
      <c r="E10" s="177" t="s">
        <v>0</v>
      </c>
      <c r="F10" s="177" t="s">
        <v>1</v>
      </c>
      <c r="G10" s="177" t="s">
        <v>2</v>
      </c>
      <c r="H10" s="305"/>
      <c r="I10" s="177" t="s">
        <v>10</v>
      </c>
      <c r="J10" s="177" t="s">
        <v>12</v>
      </c>
      <c r="K10" s="177" t="s">
        <v>8</v>
      </c>
      <c r="L10" s="177" t="s">
        <v>7</v>
      </c>
      <c r="M10" s="176" t="s">
        <v>9</v>
      </c>
      <c r="N10" s="302"/>
      <c r="O10" s="291"/>
      <c r="P10" s="292"/>
      <c r="Q10" s="293"/>
    </row>
    <row r="11" spans="1:20" s="184" customFormat="1">
      <c r="A11" s="178" t="s">
        <v>178</v>
      </c>
      <c r="B11" s="179" t="s">
        <v>168</v>
      </c>
      <c r="C11" s="180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2"/>
      <c r="P11" s="282"/>
      <c r="Q11" s="183">
        <f>SUM(P11:P59)+2500</f>
        <v>17337.695599999999</v>
      </c>
    </row>
    <row r="12" spans="1:20" s="192" customFormat="1" ht="30">
      <c r="A12" s="185" t="s">
        <v>162</v>
      </c>
      <c r="B12" s="186" t="s">
        <v>170</v>
      </c>
      <c r="C12" s="187" t="s">
        <v>154</v>
      </c>
      <c r="D12" s="188"/>
      <c r="E12" s="189"/>
      <c r="F12" s="189"/>
      <c r="G12" s="189"/>
      <c r="H12" s="189"/>
      <c r="I12" s="189"/>
      <c r="J12" s="189"/>
      <c r="K12" s="189"/>
      <c r="L12" s="189"/>
      <c r="M12" s="189"/>
      <c r="N12" s="189">
        <f>SUM(M12:M14)</f>
        <v>1</v>
      </c>
      <c r="O12" s="190">
        <v>2000</v>
      </c>
      <c r="P12" s="283">
        <f>O12*N12</f>
        <v>2000</v>
      </c>
      <c r="Q12" s="191"/>
    </row>
    <row r="13" spans="1:20" s="192" customFormat="1">
      <c r="A13" s="185"/>
      <c r="B13" s="186"/>
      <c r="C13" s="187"/>
      <c r="D13" s="188">
        <v>1</v>
      </c>
      <c r="E13" s="189"/>
      <c r="F13" s="189"/>
      <c r="G13" s="189"/>
      <c r="H13" s="189"/>
      <c r="I13" s="189"/>
      <c r="J13" s="189"/>
      <c r="K13" s="189"/>
      <c r="L13" s="189"/>
      <c r="M13" s="188">
        <v>1</v>
      </c>
      <c r="N13" s="189"/>
      <c r="O13" s="190"/>
      <c r="P13" s="283"/>
      <c r="Q13" s="191"/>
    </row>
    <row r="14" spans="1:20" s="200" customFormat="1">
      <c r="A14" s="193"/>
      <c r="B14" s="194"/>
      <c r="C14" s="195"/>
      <c r="D14" s="196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8"/>
      <c r="P14" s="284"/>
      <c r="Q14" s="199"/>
    </row>
    <row r="15" spans="1:20" s="184" customFormat="1">
      <c r="A15" s="178" t="s">
        <v>179</v>
      </c>
      <c r="B15" s="179" t="s">
        <v>169</v>
      </c>
      <c r="C15" s="180"/>
      <c r="D15" s="20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2"/>
      <c r="P15" s="282"/>
      <c r="Q15" s="183"/>
    </row>
    <row r="16" spans="1:20" s="192" customFormat="1" ht="30">
      <c r="A16" s="185" t="s">
        <v>166</v>
      </c>
      <c r="B16" s="186" t="s">
        <v>171</v>
      </c>
      <c r="C16" s="187" t="s">
        <v>59</v>
      </c>
      <c r="D16" s="188"/>
      <c r="E16" s="189"/>
      <c r="F16" s="189"/>
      <c r="G16" s="189"/>
      <c r="H16" s="189"/>
      <c r="I16" s="189"/>
      <c r="J16" s="189"/>
      <c r="K16" s="189"/>
      <c r="L16" s="189"/>
      <c r="M16" s="189"/>
      <c r="N16" s="189">
        <f>SUM(M16:M17)</f>
        <v>5</v>
      </c>
      <c r="O16" s="202">
        <v>43.86</v>
      </c>
      <c r="P16" s="283">
        <f>N16</f>
        <v>5</v>
      </c>
      <c r="Q16" s="191"/>
    </row>
    <row r="17" spans="1:17" s="200" customFormat="1">
      <c r="A17" s="193"/>
      <c r="B17" s="194"/>
      <c r="C17" s="195"/>
      <c r="D17" s="188">
        <v>5</v>
      </c>
      <c r="E17" s="197"/>
      <c r="F17" s="197"/>
      <c r="G17" s="197"/>
      <c r="H17" s="197"/>
      <c r="I17" s="197"/>
      <c r="J17" s="197"/>
      <c r="K17" s="197"/>
      <c r="L17" s="197"/>
      <c r="M17" s="188">
        <v>5</v>
      </c>
      <c r="N17" s="197"/>
      <c r="O17" s="198"/>
      <c r="P17" s="284"/>
      <c r="Q17" s="199"/>
    </row>
    <row r="18" spans="1:17" s="200" customFormat="1">
      <c r="A18" s="193"/>
      <c r="B18" s="194"/>
      <c r="C18" s="195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8"/>
      <c r="P18" s="284"/>
      <c r="Q18" s="199"/>
    </row>
    <row r="19" spans="1:17" s="200" customFormat="1">
      <c r="A19" s="193" t="s">
        <v>163</v>
      </c>
      <c r="B19" s="194" t="s">
        <v>180</v>
      </c>
      <c r="C19" s="195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8"/>
      <c r="P19" s="284"/>
      <c r="Q19" s="199"/>
    </row>
    <row r="20" spans="1:17" s="200" customFormat="1" ht="30">
      <c r="A20" s="203" t="s">
        <v>164</v>
      </c>
      <c r="B20" s="204" t="s">
        <v>183</v>
      </c>
      <c r="C20" s="195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198"/>
      <c r="P20" s="284"/>
      <c r="Q20" s="199"/>
    </row>
    <row r="21" spans="1:17" s="192" customFormat="1">
      <c r="A21" s="185" t="s">
        <v>184</v>
      </c>
      <c r="B21" s="186" t="s">
        <v>181</v>
      </c>
      <c r="C21" s="187" t="s">
        <v>59</v>
      </c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>
        <v>1</v>
      </c>
      <c r="O21" s="205">
        <v>127.4</v>
      </c>
      <c r="P21" s="283">
        <f>O21*N21</f>
        <v>127.4</v>
      </c>
      <c r="Q21" s="191"/>
    </row>
    <row r="22" spans="1:17" s="212" customFormat="1" ht="14.25">
      <c r="A22" s="206"/>
      <c r="B22" s="207"/>
      <c r="C22" s="208"/>
      <c r="D22" s="209">
        <v>1</v>
      </c>
      <c r="E22" s="209"/>
      <c r="F22" s="209"/>
      <c r="G22" s="209"/>
      <c r="H22" s="209">
        <v>1</v>
      </c>
      <c r="I22" s="209"/>
      <c r="J22" s="209"/>
      <c r="K22" s="209"/>
      <c r="L22" s="209"/>
      <c r="M22" s="209"/>
      <c r="N22" s="209"/>
      <c r="O22" s="210"/>
      <c r="P22" s="285"/>
      <c r="Q22" s="211"/>
    </row>
    <row r="23" spans="1:17" s="212" customFormat="1" ht="14.25">
      <c r="A23" s="206"/>
      <c r="B23" s="207"/>
      <c r="C23" s="208"/>
      <c r="D23" s="209"/>
      <c r="E23" s="209"/>
      <c r="F23" s="209"/>
      <c r="G23" s="209"/>
      <c r="H23" s="209"/>
      <c r="I23" s="209"/>
      <c r="J23" s="209"/>
      <c r="K23" s="209"/>
      <c r="L23" s="209"/>
      <c r="M23" s="209"/>
      <c r="N23" s="209"/>
      <c r="O23" s="210"/>
      <c r="P23" s="285"/>
      <c r="Q23" s="211"/>
    </row>
    <row r="24" spans="1:17" s="192" customFormat="1">
      <c r="A24" s="185" t="s">
        <v>185</v>
      </c>
      <c r="B24" s="186" t="s">
        <v>182</v>
      </c>
      <c r="C24" s="187" t="s">
        <v>59</v>
      </c>
      <c r="D24" s="188"/>
      <c r="E24" s="189"/>
      <c r="F24" s="189"/>
      <c r="G24" s="189"/>
      <c r="H24" s="188"/>
      <c r="I24" s="189"/>
      <c r="J24" s="189"/>
      <c r="K24" s="189"/>
      <c r="L24" s="189"/>
      <c r="M24" s="189"/>
      <c r="N24" s="189">
        <f>SUM(M25)</f>
        <v>4</v>
      </c>
      <c r="O24" s="205">
        <v>8.6999999999999993</v>
      </c>
      <c r="P24" s="283">
        <f>O24*N24</f>
        <v>34.799999999999997</v>
      </c>
      <c r="Q24" s="191"/>
    </row>
    <row r="25" spans="1:17" s="192" customFormat="1">
      <c r="A25" s="185"/>
      <c r="B25" s="186"/>
      <c r="C25" s="187"/>
      <c r="D25" s="188">
        <v>2</v>
      </c>
      <c r="E25" s="189"/>
      <c r="F25" s="189"/>
      <c r="G25" s="189"/>
      <c r="H25" s="188">
        <v>2</v>
      </c>
      <c r="I25" s="189"/>
      <c r="J25" s="189"/>
      <c r="K25" s="189"/>
      <c r="L25" s="189"/>
      <c r="M25" s="188">
        <f>PRODUCT(D25,H25)</f>
        <v>4</v>
      </c>
      <c r="N25" s="189"/>
      <c r="O25" s="190"/>
      <c r="P25" s="283"/>
      <c r="Q25" s="191"/>
    </row>
    <row r="26" spans="1:17" s="192" customFormat="1">
      <c r="A26" s="185"/>
      <c r="B26" s="186"/>
      <c r="C26" s="187"/>
      <c r="D26" s="188"/>
      <c r="E26" s="189"/>
      <c r="F26" s="189"/>
      <c r="G26" s="189"/>
      <c r="H26" s="188"/>
      <c r="I26" s="189"/>
      <c r="J26" s="189"/>
      <c r="K26" s="189"/>
      <c r="L26" s="189"/>
      <c r="M26" s="188"/>
      <c r="N26" s="189"/>
      <c r="O26" s="190"/>
      <c r="P26" s="283"/>
      <c r="Q26" s="191"/>
    </row>
    <row r="27" spans="1:17" s="192" customFormat="1" ht="30">
      <c r="A27" s="203" t="s">
        <v>165</v>
      </c>
      <c r="B27" s="204" t="s">
        <v>190</v>
      </c>
      <c r="C27" s="187"/>
      <c r="D27" s="188"/>
      <c r="E27" s="189"/>
      <c r="F27" s="189"/>
      <c r="G27" s="189"/>
      <c r="H27" s="188"/>
      <c r="I27" s="189"/>
      <c r="J27" s="189"/>
      <c r="K27" s="189"/>
      <c r="L27" s="189"/>
      <c r="M27" s="188"/>
      <c r="N27" s="189"/>
      <c r="O27" s="190"/>
      <c r="P27" s="283"/>
      <c r="Q27" s="191"/>
    </row>
    <row r="28" spans="1:17" s="192" customFormat="1" ht="30">
      <c r="A28" s="213" t="s">
        <v>191</v>
      </c>
      <c r="B28" s="214" t="s">
        <v>210</v>
      </c>
      <c r="C28" s="187"/>
      <c r="D28" s="188"/>
      <c r="E28" s="189"/>
      <c r="F28" s="189"/>
      <c r="G28" s="189"/>
      <c r="H28" s="188"/>
      <c r="I28" s="189"/>
      <c r="J28" s="189"/>
      <c r="K28" s="189"/>
      <c r="L28" s="189"/>
      <c r="M28" s="188"/>
      <c r="N28" s="189"/>
      <c r="O28" s="190"/>
      <c r="P28" s="283"/>
      <c r="Q28" s="191"/>
    </row>
    <row r="29" spans="1:17" s="192" customFormat="1">
      <c r="A29" s="185" t="s">
        <v>192</v>
      </c>
      <c r="B29" s="186" t="s">
        <v>211</v>
      </c>
      <c r="C29" s="187" t="s">
        <v>212</v>
      </c>
      <c r="D29" s="188"/>
      <c r="E29" s="189"/>
      <c r="F29" s="189"/>
      <c r="G29" s="189"/>
      <c r="H29" s="188"/>
      <c r="I29" s="189"/>
      <c r="J29" s="189"/>
      <c r="K29" s="189"/>
      <c r="L29" s="189"/>
      <c r="M29" s="188"/>
      <c r="N29" s="189">
        <f>PRODUCT(D30:G30)</f>
        <v>2.4</v>
      </c>
      <c r="O29" s="190">
        <v>25.39</v>
      </c>
      <c r="P29" s="283">
        <f>O29*N29</f>
        <v>60.936</v>
      </c>
      <c r="Q29" s="191"/>
    </row>
    <row r="30" spans="1:17" s="192" customFormat="1">
      <c r="A30" s="203"/>
      <c r="B30" s="204"/>
      <c r="C30" s="187"/>
      <c r="D30" s="188">
        <v>1</v>
      </c>
      <c r="E30" s="189">
        <v>8</v>
      </c>
      <c r="F30" s="189">
        <v>0.3</v>
      </c>
      <c r="G30" s="189">
        <v>1</v>
      </c>
      <c r="H30" s="188"/>
      <c r="I30" s="189"/>
      <c r="J30" s="189"/>
      <c r="K30" s="189"/>
      <c r="L30" s="189"/>
      <c r="M30" s="188"/>
      <c r="N30" s="189"/>
      <c r="O30" s="190"/>
      <c r="P30" s="283"/>
      <c r="Q30" s="191"/>
    </row>
    <row r="31" spans="1:17" s="192" customFormat="1">
      <c r="A31" s="203"/>
      <c r="B31" s="204"/>
      <c r="C31" s="187"/>
      <c r="D31" s="188"/>
      <c r="E31" s="189"/>
      <c r="F31" s="189"/>
      <c r="G31" s="189"/>
      <c r="H31" s="188"/>
      <c r="I31" s="189"/>
      <c r="J31" s="189"/>
      <c r="K31" s="189"/>
      <c r="L31" s="189"/>
      <c r="M31" s="188"/>
      <c r="N31" s="189"/>
      <c r="O31" s="190"/>
      <c r="P31" s="283"/>
      <c r="Q31" s="191"/>
    </row>
    <row r="32" spans="1:17" s="192" customFormat="1" ht="30">
      <c r="A32" s="185" t="s">
        <v>194</v>
      </c>
      <c r="B32" s="186" t="s">
        <v>187</v>
      </c>
      <c r="C32" s="187" t="s">
        <v>188</v>
      </c>
      <c r="D32" s="188"/>
      <c r="E32" s="189"/>
      <c r="F32" s="189"/>
      <c r="G32" s="189"/>
      <c r="H32" s="188"/>
      <c r="I32" s="189"/>
      <c r="J32" s="189"/>
      <c r="K32" s="189"/>
      <c r="L32" s="189"/>
      <c r="M32" s="189"/>
      <c r="N32" s="189">
        <v>3</v>
      </c>
      <c r="O32" s="190">
        <v>66.150000000000006</v>
      </c>
      <c r="P32" s="283">
        <f>O32*N32</f>
        <v>198.45000000000002</v>
      </c>
      <c r="Q32" s="191"/>
    </row>
    <row r="33" spans="1:17" s="192" customFormat="1">
      <c r="A33" s="185"/>
      <c r="B33" s="186"/>
      <c r="C33" s="187"/>
      <c r="D33" s="188">
        <v>1</v>
      </c>
      <c r="E33" s="189"/>
      <c r="F33" s="189"/>
      <c r="G33" s="189"/>
      <c r="H33" s="188">
        <v>3</v>
      </c>
      <c r="I33" s="189"/>
      <c r="J33" s="189"/>
      <c r="K33" s="189"/>
      <c r="L33" s="189"/>
      <c r="M33" s="188">
        <v>3</v>
      </c>
      <c r="N33" s="189"/>
      <c r="O33" s="190"/>
      <c r="P33" s="283"/>
      <c r="Q33" s="191"/>
    </row>
    <row r="34" spans="1:17" s="192" customFormat="1">
      <c r="A34" s="185"/>
      <c r="B34" s="186"/>
      <c r="C34" s="187"/>
      <c r="D34" s="188"/>
      <c r="E34" s="189"/>
      <c r="F34" s="189"/>
      <c r="G34" s="189"/>
      <c r="H34" s="188"/>
      <c r="I34" s="189"/>
      <c r="J34" s="189"/>
      <c r="K34" s="189"/>
      <c r="L34" s="189"/>
      <c r="M34" s="188"/>
      <c r="N34" s="189"/>
      <c r="O34" s="190"/>
      <c r="P34" s="283"/>
      <c r="Q34" s="191"/>
    </row>
    <row r="35" spans="1:17" s="192" customFormat="1" ht="30">
      <c r="A35" s="185" t="s">
        <v>214</v>
      </c>
      <c r="B35" s="186" t="s">
        <v>213</v>
      </c>
      <c r="C35" s="187" t="s">
        <v>212</v>
      </c>
      <c r="D35" s="188"/>
      <c r="E35" s="189"/>
      <c r="F35" s="189"/>
      <c r="G35" s="189"/>
      <c r="H35" s="188"/>
      <c r="I35" s="189"/>
      <c r="J35" s="189"/>
      <c r="K35" s="189"/>
      <c r="L35" s="189"/>
      <c r="M35" s="188"/>
      <c r="N35" s="189">
        <f>PRODUCT(D36:G36)</f>
        <v>1.68</v>
      </c>
      <c r="O35" s="190">
        <v>8.4700000000000006</v>
      </c>
      <c r="P35" s="283">
        <f>O35*N35</f>
        <v>14.229600000000001</v>
      </c>
      <c r="Q35" s="191"/>
    </row>
    <row r="36" spans="1:17" s="192" customFormat="1">
      <c r="A36" s="203"/>
      <c r="B36" s="204"/>
      <c r="C36" s="187"/>
      <c r="D36" s="188">
        <v>1</v>
      </c>
      <c r="E36" s="189">
        <v>8</v>
      </c>
      <c r="F36" s="189">
        <v>0.3</v>
      </c>
      <c r="G36" s="189">
        <v>0.7</v>
      </c>
      <c r="H36" s="188"/>
      <c r="I36" s="189"/>
      <c r="J36" s="189"/>
      <c r="K36" s="189"/>
      <c r="L36" s="189"/>
      <c r="M36" s="188"/>
      <c r="N36" s="189"/>
      <c r="O36" s="190"/>
      <c r="P36" s="283"/>
      <c r="Q36" s="191"/>
    </row>
    <row r="37" spans="1:17" s="192" customFormat="1">
      <c r="A37" s="185"/>
      <c r="B37" s="186"/>
      <c r="C37" s="187"/>
      <c r="D37" s="188"/>
      <c r="E37" s="189"/>
      <c r="F37" s="189"/>
      <c r="G37" s="189"/>
      <c r="H37" s="188"/>
      <c r="I37" s="189"/>
      <c r="J37" s="189"/>
      <c r="K37" s="189"/>
      <c r="L37" s="189"/>
      <c r="M37" s="188"/>
      <c r="N37" s="189"/>
      <c r="O37" s="190"/>
      <c r="P37" s="283"/>
      <c r="Q37" s="191"/>
    </row>
    <row r="38" spans="1:17" s="192" customFormat="1">
      <c r="A38" s="185" t="s">
        <v>215</v>
      </c>
      <c r="B38" s="186" t="s">
        <v>193</v>
      </c>
      <c r="C38" s="187" t="s">
        <v>188</v>
      </c>
      <c r="D38" s="188"/>
      <c r="E38" s="189"/>
      <c r="F38" s="189"/>
      <c r="G38" s="189"/>
      <c r="H38" s="188"/>
      <c r="I38" s="189"/>
      <c r="J38" s="189"/>
      <c r="K38" s="189"/>
      <c r="L38" s="189"/>
      <c r="M38" s="188"/>
      <c r="N38" s="189">
        <v>1</v>
      </c>
      <c r="O38" s="205">
        <v>90.15</v>
      </c>
      <c r="P38" s="283">
        <f>O38*N38</f>
        <v>90.15</v>
      </c>
      <c r="Q38" s="191"/>
    </row>
    <row r="39" spans="1:17" s="192" customFormat="1">
      <c r="A39" s="185"/>
      <c r="B39" s="186"/>
      <c r="C39" s="187"/>
      <c r="D39" s="188">
        <v>1</v>
      </c>
      <c r="E39" s="189"/>
      <c r="F39" s="189"/>
      <c r="G39" s="189"/>
      <c r="H39" s="188">
        <v>1</v>
      </c>
      <c r="I39" s="189"/>
      <c r="J39" s="189"/>
      <c r="K39" s="189"/>
      <c r="L39" s="189"/>
      <c r="M39" s="188">
        <v>1</v>
      </c>
      <c r="N39" s="189"/>
      <c r="O39" s="190"/>
      <c r="P39" s="283"/>
      <c r="Q39" s="191"/>
    </row>
    <row r="40" spans="1:17" s="192" customFormat="1">
      <c r="A40" s="185"/>
      <c r="B40" s="186"/>
      <c r="C40" s="187"/>
      <c r="D40" s="188"/>
      <c r="E40" s="189"/>
      <c r="F40" s="189"/>
      <c r="G40" s="189"/>
      <c r="H40" s="188"/>
      <c r="I40" s="189"/>
      <c r="J40" s="189"/>
      <c r="K40" s="189"/>
      <c r="L40" s="189"/>
      <c r="M40" s="189"/>
      <c r="N40" s="189"/>
      <c r="O40" s="190"/>
      <c r="P40" s="283"/>
      <c r="Q40" s="191"/>
    </row>
    <row r="41" spans="1:17" s="192" customFormat="1">
      <c r="A41" s="185" t="s">
        <v>216</v>
      </c>
      <c r="B41" s="186" t="s">
        <v>189</v>
      </c>
      <c r="C41" s="187" t="s">
        <v>188</v>
      </c>
      <c r="D41" s="188"/>
      <c r="E41" s="189"/>
      <c r="F41" s="189" t="s">
        <v>186</v>
      </c>
      <c r="G41" s="189"/>
      <c r="H41" s="188"/>
      <c r="I41" s="189"/>
      <c r="J41" s="189"/>
      <c r="K41" s="189"/>
      <c r="L41" s="189"/>
      <c r="M41" s="189"/>
      <c r="N41" s="189">
        <v>1</v>
      </c>
      <c r="O41" s="215">
        <v>206.73</v>
      </c>
      <c r="P41" s="283">
        <f>O41*N41</f>
        <v>206.73</v>
      </c>
      <c r="Q41" s="191"/>
    </row>
    <row r="42" spans="1:17" s="192" customFormat="1">
      <c r="A42" s="185"/>
      <c r="B42" s="186"/>
      <c r="C42" s="187"/>
      <c r="D42" s="188">
        <v>1</v>
      </c>
      <c r="E42" s="189"/>
      <c r="F42" s="189"/>
      <c r="G42" s="189"/>
      <c r="H42" s="188">
        <v>1</v>
      </c>
      <c r="I42" s="189"/>
      <c r="J42" s="189"/>
      <c r="K42" s="189"/>
      <c r="L42" s="189"/>
      <c r="M42" s="188">
        <v>1</v>
      </c>
      <c r="N42" s="189"/>
      <c r="O42" s="190"/>
      <c r="P42" s="283"/>
      <c r="Q42" s="191"/>
    </row>
    <row r="43" spans="1:17" s="192" customFormat="1">
      <c r="A43" s="185"/>
      <c r="B43" s="186"/>
      <c r="C43" s="187"/>
      <c r="D43" s="188"/>
      <c r="E43" s="189"/>
      <c r="F43" s="189"/>
      <c r="G43" s="189"/>
      <c r="H43" s="188"/>
      <c r="I43" s="189"/>
      <c r="J43" s="189"/>
      <c r="K43" s="189"/>
      <c r="L43" s="189"/>
      <c r="M43" s="188"/>
      <c r="N43" s="189"/>
      <c r="O43" s="190"/>
      <c r="P43" s="283"/>
      <c r="Q43" s="191"/>
    </row>
    <row r="44" spans="1:17" s="192" customFormat="1" ht="15.75" customHeight="1">
      <c r="A44" s="216" t="s">
        <v>196</v>
      </c>
      <c r="B44" s="179" t="s">
        <v>198</v>
      </c>
      <c r="C44" s="187"/>
      <c r="D44" s="188"/>
      <c r="E44" s="189"/>
      <c r="F44" s="189"/>
      <c r="G44" s="189"/>
      <c r="H44" s="188"/>
      <c r="I44" s="189"/>
      <c r="J44" s="189"/>
      <c r="K44" s="189"/>
      <c r="L44" s="189"/>
      <c r="M44" s="188"/>
      <c r="N44" s="189"/>
      <c r="O44" s="190"/>
      <c r="P44" s="283"/>
      <c r="Q44" s="191"/>
    </row>
    <row r="45" spans="1:17" s="192" customFormat="1">
      <c r="A45" s="217" t="s">
        <v>167</v>
      </c>
      <c r="B45" s="194" t="s">
        <v>195</v>
      </c>
      <c r="C45" s="187"/>
      <c r="D45" s="188"/>
      <c r="E45" s="189"/>
      <c r="F45" s="189"/>
      <c r="G45" s="189"/>
      <c r="H45" s="188"/>
      <c r="I45" s="189"/>
      <c r="J45" s="189"/>
      <c r="K45" s="189"/>
      <c r="L45" s="189"/>
      <c r="M45" s="188"/>
      <c r="N45" s="189"/>
      <c r="O45" s="190"/>
      <c r="P45" s="283"/>
      <c r="Q45" s="191"/>
    </row>
    <row r="46" spans="1:17" s="192" customFormat="1" ht="30">
      <c r="A46" s="185" t="s">
        <v>199</v>
      </c>
      <c r="B46" s="186" t="s">
        <v>197</v>
      </c>
      <c r="C46" s="187" t="s">
        <v>154</v>
      </c>
      <c r="D46" s="188"/>
      <c r="E46" s="189"/>
      <c r="F46" s="189"/>
      <c r="G46" s="189"/>
      <c r="H46" s="188"/>
      <c r="I46" s="189"/>
      <c r="J46" s="189"/>
      <c r="K46" s="189"/>
      <c r="L46" s="189"/>
      <c r="M46" s="188"/>
      <c r="N46" s="189">
        <v>1</v>
      </c>
      <c r="O46" s="190">
        <v>8000</v>
      </c>
      <c r="P46" s="283">
        <f>O46*N46</f>
        <v>8000</v>
      </c>
      <c r="Q46" s="191"/>
    </row>
    <row r="47" spans="1:17" s="192" customFormat="1">
      <c r="A47" s="185"/>
      <c r="B47" s="186"/>
      <c r="C47" s="187"/>
      <c r="D47" s="188">
        <v>1</v>
      </c>
      <c r="E47" s="189"/>
      <c r="F47" s="189"/>
      <c r="G47" s="189"/>
      <c r="H47" s="188">
        <v>1</v>
      </c>
      <c r="I47" s="189"/>
      <c r="J47" s="189"/>
      <c r="K47" s="189"/>
      <c r="L47" s="189"/>
      <c r="M47" s="188">
        <v>1</v>
      </c>
      <c r="N47" s="189"/>
      <c r="O47" s="190"/>
      <c r="P47" s="283"/>
      <c r="Q47" s="191"/>
    </row>
    <row r="48" spans="1:17" s="192" customFormat="1">
      <c r="A48" s="185"/>
      <c r="B48" s="186"/>
      <c r="C48" s="187"/>
      <c r="D48" s="188"/>
      <c r="E48" s="189"/>
      <c r="F48" s="189"/>
      <c r="G48" s="189"/>
      <c r="H48" s="188"/>
      <c r="I48" s="189"/>
      <c r="J48" s="189"/>
      <c r="K48" s="189"/>
      <c r="L48" s="189"/>
      <c r="M48" s="188"/>
      <c r="N48" s="189"/>
      <c r="O48" s="190"/>
      <c r="P48" s="283"/>
      <c r="Q48" s="191"/>
    </row>
    <row r="49" spans="1:17" s="192" customFormat="1">
      <c r="A49" s="217" t="s">
        <v>206</v>
      </c>
      <c r="B49" s="194" t="s">
        <v>200</v>
      </c>
      <c r="C49" s="187"/>
      <c r="D49" s="188"/>
      <c r="E49" s="189"/>
      <c r="F49" s="189"/>
      <c r="G49" s="189"/>
      <c r="H49" s="188"/>
      <c r="I49" s="189"/>
      <c r="J49" s="189"/>
      <c r="K49" s="189"/>
      <c r="L49" s="189"/>
      <c r="M49" s="188"/>
      <c r="N49" s="189"/>
      <c r="O49" s="190"/>
      <c r="P49" s="283"/>
      <c r="Q49" s="191"/>
    </row>
    <row r="50" spans="1:17" s="192" customFormat="1" ht="30">
      <c r="A50" s="185" t="s">
        <v>207</v>
      </c>
      <c r="B50" s="186" t="s">
        <v>201</v>
      </c>
      <c r="C50" s="187" t="s">
        <v>154</v>
      </c>
      <c r="D50" s="188"/>
      <c r="E50" s="189"/>
      <c r="F50" s="189"/>
      <c r="G50" s="189"/>
      <c r="H50" s="188"/>
      <c r="I50" s="189"/>
      <c r="J50" s="189"/>
      <c r="K50" s="189"/>
      <c r="L50" s="189"/>
      <c r="M50" s="188"/>
      <c r="N50" s="189">
        <v>1</v>
      </c>
      <c r="O50" s="190"/>
      <c r="P50" s="286"/>
      <c r="Q50" s="323">
        <v>2500</v>
      </c>
    </row>
    <row r="51" spans="1:17" s="192" customFormat="1">
      <c r="A51" s="185"/>
      <c r="B51" s="186"/>
      <c r="C51" s="187"/>
      <c r="D51" s="188">
        <v>1</v>
      </c>
      <c r="E51" s="189"/>
      <c r="F51" s="189"/>
      <c r="G51" s="189"/>
      <c r="H51" s="188">
        <v>1</v>
      </c>
      <c r="I51" s="189"/>
      <c r="J51" s="189"/>
      <c r="K51" s="189"/>
      <c r="L51" s="189"/>
      <c r="M51" s="188">
        <v>1</v>
      </c>
      <c r="N51" s="189"/>
      <c r="O51" s="190"/>
      <c r="P51" s="283"/>
      <c r="Q51" s="191"/>
    </row>
    <row r="52" spans="1:17" s="192" customFormat="1">
      <c r="A52" s="185"/>
      <c r="B52" s="186"/>
      <c r="C52" s="187"/>
      <c r="D52" s="188"/>
      <c r="E52" s="189"/>
      <c r="F52" s="189"/>
      <c r="G52" s="189"/>
      <c r="H52" s="188"/>
      <c r="I52" s="189"/>
      <c r="J52" s="189"/>
      <c r="K52" s="189"/>
      <c r="L52" s="189"/>
      <c r="M52" s="188"/>
      <c r="N52" s="189"/>
      <c r="O52" s="190"/>
      <c r="P52" s="283"/>
      <c r="Q52" s="191"/>
    </row>
    <row r="53" spans="1:17" s="192" customFormat="1">
      <c r="A53" s="217" t="s">
        <v>205</v>
      </c>
      <c r="B53" s="194" t="s">
        <v>172</v>
      </c>
      <c r="C53" s="187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90"/>
      <c r="P53" s="283"/>
      <c r="Q53" s="191"/>
    </row>
    <row r="54" spans="1:17" s="192" customFormat="1" ht="28.5" customHeight="1">
      <c r="A54" s="185" t="s">
        <v>208</v>
      </c>
      <c r="B54" s="186" t="s">
        <v>173</v>
      </c>
      <c r="C54" s="187" t="s">
        <v>154</v>
      </c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>
        <v>1</v>
      </c>
      <c r="O54" s="190">
        <v>3100</v>
      </c>
      <c r="P54" s="283">
        <f>O54*N54</f>
        <v>3100</v>
      </c>
      <c r="Q54" s="191"/>
    </row>
    <row r="55" spans="1:17" s="192" customFormat="1">
      <c r="A55" s="185"/>
      <c r="B55" s="186"/>
      <c r="C55" s="187"/>
      <c r="D55" s="188">
        <v>1</v>
      </c>
      <c r="E55" s="188"/>
      <c r="F55" s="188"/>
      <c r="G55" s="188"/>
      <c r="H55" s="188"/>
      <c r="I55" s="188"/>
      <c r="J55" s="188"/>
      <c r="K55" s="188"/>
      <c r="L55" s="188"/>
      <c r="M55" s="188">
        <v>1</v>
      </c>
      <c r="N55" s="189"/>
      <c r="O55" s="190"/>
      <c r="P55" s="283"/>
      <c r="Q55" s="191"/>
    </row>
    <row r="56" spans="1:17" s="192" customFormat="1">
      <c r="A56" s="217" t="s">
        <v>204</v>
      </c>
      <c r="B56" s="194" t="s">
        <v>202</v>
      </c>
      <c r="C56" s="218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90"/>
      <c r="P56" s="283"/>
      <c r="Q56" s="191"/>
    </row>
    <row r="57" spans="1:17" s="192" customFormat="1" ht="15" customHeight="1">
      <c r="A57" s="185" t="s">
        <v>209</v>
      </c>
      <c r="B57" s="186" t="s">
        <v>203</v>
      </c>
      <c r="C57" s="219" t="s">
        <v>154</v>
      </c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>
        <v>1</v>
      </c>
      <c r="O57" s="190">
        <v>1000</v>
      </c>
      <c r="P57" s="283">
        <f>O57*N57</f>
        <v>1000</v>
      </c>
      <c r="Q57" s="191"/>
    </row>
    <row r="58" spans="1:17" s="226" customFormat="1">
      <c r="A58" s="220"/>
      <c r="B58" s="221"/>
      <c r="C58" s="222"/>
      <c r="D58" s="209">
        <v>1</v>
      </c>
      <c r="E58" s="209"/>
      <c r="F58" s="209"/>
      <c r="G58" s="209"/>
      <c r="H58" s="209"/>
      <c r="I58" s="209"/>
      <c r="J58" s="209"/>
      <c r="K58" s="209"/>
      <c r="L58" s="209"/>
      <c r="M58" s="209">
        <v>1</v>
      </c>
      <c r="N58" s="223"/>
      <c r="O58" s="224"/>
      <c r="P58" s="287"/>
      <c r="Q58" s="225"/>
    </row>
    <row r="59" spans="1:17" s="226" customFormat="1">
      <c r="A59" s="220"/>
      <c r="B59" s="221"/>
      <c r="C59" s="222"/>
      <c r="D59" s="223"/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4"/>
      <c r="P59" s="287"/>
      <c r="Q59" s="225"/>
    </row>
    <row r="62" spans="1:17" s="226" customFormat="1">
      <c r="A62" s="227"/>
      <c r="B62" s="228"/>
      <c r="C62" s="229"/>
      <c r="D62" s="230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P62" s="288"/>
      <c r="Q62" s="231"/>
    </row>
    <row r="63" spans="1:17" s="226" customFormat="1">
      <c r="A63" s="227"/>
      <c r="B63" s="228"/>
      <c r="C63" s="229"/>
      <c r="D63" s="230"/>
      <c r="E63" s="230"/>
      <c r="F63" s="230"/>
      <c r="G63" s="230"/>
      <c r="H63" s="230"/>
      <c r="I63" s="230"/>
      <c r="J63" s="230"/>
      <c r="K63" s="230"/>
      <c r="L63" s="230"/>
      <c r="M63" s="230"/>
      <c r="N63" s="230"/>
      <c r="P63" s="288"/>
      <c r="Q63" s="231"/>
    </row>
    <row r="64" spans="1:17" s="226" customFormat="1">
      <c r="A64" s="227"/>
      <c r="B64" s="228"/>
      <c r="C64" s="229"/>
      <c r="D64" s="230"/>
      <c r="E64" s="230"/>
      <c r="F64" s="230"/>
      <c r="G64" s="230"/>
      <c r="H64" s="230"/>
      <c r="I64" s="230"/>
      <c r="J64" s="230"/>
      <c r="K64" s="230"/>
      <c r="L64" s="230"/>
      <c r="M64" s="230"/>
      <c r="N64" s="230"/>
      <c r="P64" s="288"/>
      <c r="Q64" s="231"/>
    </row>
    <row r="65" spans="1:17" s="226" customFormat="1">
      <c r="A65" s="227"/>
      <c r="B65" s="228"/>
      <c r="C65" s="229"/>
      <c r="D65" s="230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P65" s="288"/>
      <c r="Q65" s="231"/>
    </row>
    <row r="66" spans="1:17" s="226" customFormat="1">
      <c r="A66" s="227"/>
      <c r="B66" s="228"/>
      <c r="C66" s="229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P66" s="288"/>
      <c r="Q66" s="231"/>
    </row>
    <row r="67" spans="1:17" s="226" customFormat="1">
      <c r="A67" s="227"/>
      <c r="B67" s="228"/>
      <c r="C67" s="229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P67" s="288"/>
      <c r="Q67" s="231"/>
    </row>
    <row r="68" spans="1:17" s="226" customFormat="1">
      <c r="A68" s="232"/>
      <c r="B68" s="233"/>
      <c r="C68" s="234"/>
      <c r="D68" s="235"/>
      <c r="E68" s="235"/>
      <c r="F68" s="235"/>
      <c r="G68" s="235"/>
      <c r="H68" s="235"/>
      <c r="I68" s="235"/>
      <c r="J68" s="235"/>
      <c r="K68" s="235"/>
      <c r="L68" s="235"/>
      <c r="M68" s="235"/>
      <c r="N68" s="235"/>
      <c r="P68" s="288"/>
      <c r="Q68" s="231"/>
    </row>
    <row r="69" spans="1:17" s="226" customFormat="1">
      <c r="A69" s="227"/>
      <c r="B69" s="228"/>
      <c r="C69" s="229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P69" s="288"/>
      <c r="Q69" s="231"/>
    </row>
    <row r="70" spans="1:17" s="226" customFormat="1">
      <c r="A70" s="227"/>
      <c r="B70" s="228"/>
      <c r="C70" s="229"/>
      <c r="D70" s="230"/>
      <c r="E70" s="230"/>
      <c r="F70" s="230"/>
      <c r="G70" s="230"/>
      <c r="H70" s="230"/>
      <c r="I70" s="230"/>
      <c r="J70" s="230"/>
      <c r="K70" s="230"/>
      <c r="L70" s="230"/>
      <c r="M70" s="230"/>
      <c r="N70" s="230"/>
      <c r="P70" s="288"/>
      <c r="Q70" s="231"/>
    </row>
    <row r="71" spans="1:17" s="226" customFormat="1">
      <c r="A71" s="227"/>
      <c r="B71" s="228"/>
      <c r="C71" s="229"/>
      <c r="D71" s="230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P71" s="288"/>
      <c r="Q71" s="231"/>
    </row>
    <row r="72" spans="1:17" s="226" customFormat="1">
      <c r="A72" s="227"/>
      <c r="B72" s="228"/>
      <c r="C72" s="229"/>
      <c r="D72" s="230"/>
      <c r="E72" s="230"/>
      <c r="F72" s="230"/>
      <c r="G72" s="230"/>
      <c r="H72" s="230"/>
      <c r="I72" s="230"/>
      <c r="J72" s="230"/>
      <c r="K72" s="230"/>
      <c r="L72" s="230"/>
      <c r="M72" s="230"/>
      <c r="N72" s="230"/>
      <c r="P72" s="288"/>
      <c r="Q72" s="231"/>
    </row>
    <row r="73" spans="1:17" s="226" customFormat="1">
      <c r="A73" s="227"/>
      <c r="B73" s="228"/>
      <c r="C73" s="229"/>
      <c r="D73" s="230"/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P73" s="288"/>
      <c r="Q73" s="231"/>
    </row>
    <row r="74" spans="1:17" s="226" customFormat="1">
      <c r="A74" s="227"/>
      <c r="B74" s="228"/>
      <c r="C74" s="229"/>
      <c r="D74" s="230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P74" s="288"/>
      <c r="Q74" s="231"/>
    </row>
    <row r="75" spans="1:17" s="226" customFormat="1">
      <c r="A75" s="232"/>
      <c r="B75" s="233"/>
      <c r="C75" s="234"/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5"/>
      <c r="P75" s="288"/>
      <c r="Q75" s="231"/>
    </row>
    <row r="76" spans="1:17" s="226" customFormat="1">
      <c r="A76" s="227"/>
      <c r="B76" s="228"/>
      <c r="C76" s="229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P76" s="288"/>
      <c r="Q76" s="231"/>
    </row>
    <row r="77" spans="1:17" s="226" customFormat="1">
      <c r="A77" s="227"/>
      <c r="B77" s="228"/>
      <c r="C77" s="229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P77" s="288"/>
      <c r="Q77" s="231"/>
    </row>
    <row r="78" spans="1:17" s="226" customFormat="1">
      <c r="A78" s="227"/>
      <c r="B78" s="228"/>
      <c r="C78" s="229"/>
      <c r="D78" s="230"/>
      <c r="E78" s="230"/>
      <c r="F78" s="230"/>
      <c r="G78" s="230"/>
      <c r="H78" s="230"/>
      <c r="I78" s="230"/>
      <c r="J78" s="230"/>
      <c r="K78" s="230"/>
      <c r="L78" s="230"/>
      <c r="M78" s="230"/>
      <c r="N78" s="230"/>
      <c r="P78" s="288"/>
      <c r="Q78" s="231"/>
    </row>
    <row r="79" spans="1:17" s="226" customFormat="1">
      <c r="A79" s="227"/>
      <c r="B79" s="228"/>
      <c r="C79" s="229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P79" s="288"/>
      <c r="Q79" s="231"/>
    </row>
    <row r="80" spans="1:17" s="226" customFormat="1">
      <c r="A80" s="227"/>
      <c r="B80" s="228"/>
      <c r="C80" s="229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P80" s="288"/>
      <c r="Q80" s="231"/>
    </row>
    <row r="81" spans="1:17" s="226" customFormat="1">
      <c r="A81" s="227"/>
      <c r="B81" s="228"/>
      <c r="C81" s="229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P81" s="288"/>
      <c r="Q81" s="231"/>
    </row>
    <row r="82" spans="1:17" s="226" customFormat="1">
      <c r="A82" s="227"/>
      <c r="B82" s="228"/>
      <c r="C82" s="229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P82" s="288"/>
      <c r="Q82" s="231"/>
    </row>
    <row r="83" spans="1:17" s="226" customFormat="1">
      <c r="A83" s="227"/>
      <c r="B83" s="228"/>
      <c r="C83" s="229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P83" s="288"/>
      <c r="Q83" s="231"/>
    </row>
    <row r="84" spans="1:17" s="226" customFormat="1">
      <c r="A84" s="227"/>
      <c r="B84" s="228"/>
      <c r="C84" s="229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P84" s="288"/>
      <c r="Q84" s="231"/>
    </row>
    <row r="85" spans="1:17" s="226" customFormat="1">
      <c r="A85" s="227"/>
      <c r="B85" s="228"/>
      <c r="C85" s="229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P85" s="288"/>
      <c r="Q85" s="231"/>
    </row>
    <row r="86" spans="1:17" s="226" customFormat="1">
      <c r="A86" s="227"/>
      <c r="B86" s="228"/>
      <c r="C86" s="229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P86" s="288"/>
      <c r="Q86" s="231"/>
    </row>
    <row r="87" spans="1:17" s="226" customFormat="1">
      <c r="A87" s="227"/>
      <c r="B87" s="228"/>
      <c r="C87" s="229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P87" s="288"/>
      <c r="Q87" s="231"/>
    </row>
    <row r="88" spans="1:17" s="226" customFormat="1">
      <c r="A88" s="227"/>
      <c r="B88" s="228"/>
      <c r="C88" s="229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P88" s="288"/>
      <c r="Q88" s="231"/>
    </row>
    <row r="89" spans="1:17" s="226" customFormat="1">
      <c r="A89" s="232"/>
      <c r="B89" s="233"/>
      <c r="C89" s="234"/>
      <c r="D89" s="235"/>
      <c r="E89" s="235"/>
      <c r="F89" s="235"/>
      <c r="G89" s="235"/>
      <c r="H89" s="235"/>
      <c r="I89" s="235"/>
      <c r="J89" s="235"/>
      <c r="K89" s="235"/>
      <c r="L89" s="235"/>
      <c r="M89" s="235"/>
      <c r="N89" s="235"/>
      <c r="P89" s="288"/>
      <c r="Q89" s="231"/>
    </row>
    <row r="90" spans="1:17" s="226" customFormat="1">
      <c r="A90" s="227"/>
      <c r="B90" s="228"/>
      <c r="C90" s="229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P90" s="288"/>
      <c r="Q90" s="231"/>
    </row>
    <row r="91" spans="1:17" s="226" customFormat="1">
      <c r="A91" s="227"/>
      <c r="B91" s="228"/>
      <c r="C91" s="229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P91" s="288"/>
      <c r="Q91" s="231"/>
    </row>
    <row r="92" spans="1:17" s="226" customFormat="1">
      <c r="A92" s="227"/>
      <c r="B92" s="228"/>
      <c r="C92" s="229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P92" s="288"/>
      <c r="Q92" s="231"/>
    </row>
    <row r="93" spans="1:17" s="226" customFormat="1">
      <c r="A93" s="227"/>
      <c r="B93" s="228"/>
      <c r="C93" s="229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P93" s="288"/>
      <c r="Q93" s="231"/>
    </row>
    <row r="94" spans="1:17" s="226" customFormat="1">
      <c r="A94" s="227"/>
      <c r="B94" s="228"/>
      <c r="C94" s="229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P94" s="288"/>
      <c r="Q94" s="231"/>
    </row>
    <row r="95" spans="1:17" s="226" customFormat="1">
      <c r="A95" s="227"/>
      <c r="B95" s="228"/>
      <c r="C95" s="229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P95" s="288"/>
      <c r="Q95" s="231"/>
    </row>
    <row r="96" spans="1:17" s="226" customFormat="1">
      <c r="A96" s="227"/>
      <c r="B96" s="228"/>
      <c r="C96" s="229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P96" s="288"/>
      <c r="Q96" s="231"/>
    </row>
    <row r="97" spans="1:17" s="226" customFormat="1">
      <c r="A97" s="232"/>
      <c r="B97" s="233"/>
      <c r="C97" s="234"/>
      <c r="D97" s="235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P97" s="288"/>
      <c r="Q97" s="231"/>
    </row>
    <row r="98" spans="1:17" s="226" customFormat="1">
      <c r="A98" s="227"/>
      <c r="B98" s="228"/>
      <c r="C98" s="229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P98" s="288"/>
      <c r="Q98" s="231"/>
    </row>
    <row r="99" spans="1:17" s="226" customFormat="1">
      <c r="A99" s="227"/>
      <c r="B99" s="228"/>
      <c r="C99" s="229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P99" s="288"/>
      <c r="Q99" s="231"/>
    </row>
    <row r="100" spans="1:17" s="226" customFormat="1">
      <c r="A100" s="227"/>
      <c r="B100" s="228"/>
      <c r="C100" s="229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P100" s="288"/>
      <c r="Q100" s="231"/>
    </row>
    <row r="101" spans="1:17" s="226" customFormat="1">
      <c r="A101" s="227"/>
      <c r="B101" s="228"/>
      <c r="C101" s="229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P101" s="288"/>
      <c r="Q101" s="231"/>
    </row>
    <row r="102" spans="1:17" s="226" customFormat="1">
      <c r="A102" s="227"/>
      <c r="B102" s="228"/>
      <c r="C102" s="229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P102" s="288"/>
      <c r="Q102" s="231"/>
    </row>
    <row r="103" spans="1:17" s="226" customFormat="1">
      <c r="A103" s="227"/>
      <c r="B103" s="228"/>
      <c r="C103" s="229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P103" s="288"/>
      <c r="Q103" s="231"/>
    </row>
    <row r="104" spans="1:17" s="226" customFormat="1">
      <c r="A104" s="227"/>
      <c r="B104" s="228"/>
      <c r="C104" s="229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P104" s="288"/>
      <c r="Q104" s="231"/>
    </row>
    <row r="105" spans="1:17" s="226" customFormat="1">
      <c r="A105" s="227"/>
      <c r="B105" s="228"/>
      <c r="C105" s="229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P105" s="288"/>
      <c r="Q105" s="231"/>
    </row>
    <row r="106" spans="1:17" s="226" customFormat="1">
      <c r="A106" s="227"/>
      <c r="B106" s="228"/>
      <c r="C106" s="229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P106" s="288"/>
      <c r="Q106" s="231"/>
    </row>
    <row r="107" spans="1:17" s="226" customFormat="1">
      <c r="A107" s="227"/>
      <c r="B107" s="228"/>
      <c r="C107" s="229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P107" s="288"/>
      <c r="Q107" s="231"/>
    </row>
    <row r="108" spans="1:17" s="226" customFormat="1">
      <c r="A108" s="227"/>
      <c r="B108" s="228"/>
      <c r="C108" s="229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P108" s="288"/>
      <c r="Q108" s="231"/>
    </row>
    <row r="109" spans="1:17" s="226" customFormat="1">
      <c r="A109" s="227"/>
      <c r="B109" s="228"/>
      <c r="C109" s="229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P109" s="288"/>
      <c r="Q109" s="231"/>
    </row>
    <row r="110" spans="1:17" s="226" customFormat="1">
      <c r="A110" s="227"/>
      <c r="B110" s="228"/>
      <c r="C110" s="229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P110" s="288"/>
      <c r="Q110" s="231"/>
    </row>
    <row r="111" spans="1:17" s="226" customFormat="1">
      <c r="A111" s="227"/>
      <c r="B111" s="228"/>
      <c r="C111" s="229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P111" s="288"/>
      <c r="Q111" s="231"/>
    </row>
    <row r="112" spans="1:17" s="226" customFormat="1">
      <c r="A112" s="227"/>
      <c r="B112" s="228"/>
      <c r="C112" s="229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P112" s="288"/>
      <c r="Q112" s="231"/>
    </row>
    <row r="113" spans="1:17" s="226" customFormat="1">
      <c r="A113" s="227"/>
      <c r="B113" s="228"/>
      <c r="C113" s="229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P113" s="288"/>
      <c r="Q113" s="231"/>
    </row>
    <row r="114" spans="1:17" s="226" customFormat="1">
      <c r="A114" s="227"/>
      <c r="B114" s="228"/>
      <c r="C114" s="229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P114" s="288"/>
      <c r="Q114" s="231"/>
    </row>
    <row r="115" spans="1:17" s="226" customFormat="1">
      <c r="A115" s="227"/>
      <c r="B115" s="228"/>
      <c r="C115" s="229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P115" s="288"/>
      <c r="Q115" s="231"/>
    </row>
    <row r="116" spans="1:17" s="226" customFormat="1">
      <c r="A116" s="227"/>
      <c r="B116" s="228"/>
      <c r="C116" s="229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P116" s="288"/>
      <c r="Q116" s="231"/>
    </row>
    <row r="117" spans="1:17" s="226" customFormat="1">
      <c r="A117" s="232"/>
      <c r="B117" s="233"/>
      <c r="C117" s="234"/>
      <c r="D117" s="235"/>
      <c r="E117" s="235"/>
      <c r="F117" s="235"/>
      <c r="G117" s="235"/>
      <c r="H117" s="235"/>
      <c r="I117" s="235"/>
      <c r="J117" s="235"/>
      <c r="K117" s="235"/>
      <c r="L117" s="235"/>
      <c r="M117" s="235"/>
      <c r="N117" s="235"/>
      <c r="P117" s="288"/>
      <c r="Q117" s="231"/>
    </row>
    <row r="118" spans="1:17" s="226" customFormat="1">
      <c r="A118" s="227"/>
      <c r="B118" s="228"/>
      <c r="C118" s="229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P118" s="288"/>
      <c r="Q118" s="231"/>
    </row>
    <row r="119" spans="1:17" s="226" customFormat="1">
      <c r="A119" s="227"/>
      <c r="B119" s="228"/>
      <c r="C119" s="229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P119" s="288"/>
      <c r="Q119" s="231"/>
    </row>
    <row r="120" spans="1:17" s="226" customFormat="1">
      <c r="A120" s="227"/>
      <c r="B120" s="228"/>
      <c r="C120" s="229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P120" s="288"/>
      <c r="Q120" s="231"/>
    </row>
    <row r="121" spans="1:17" s="226" customFormat="1">
      <c r="A121" s="227"/>
      <c r="B121" s="228"/>
      <c r="C121" s="229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P121" s="288"/>
      <c r="Q121" s="231"/>
    </row>
    <row r="122" spans="1:17" s="226" customFormat="1">
      <c r="A122" s="227"/>
      <c r="B122" s="228"/>
      <c r="C122" s="229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P122" s="288"/>
      <c r="Q122" s="231"/>
    </row>
    <row r="123" spans="1:17" s="226" customFormat="1">
      <c r="A123" s="227"/>
      <c r="B123" s="228"/>
      <c r="C123" s="229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P123" s="288"/>
      <c r="Q123" s="231"/>
    </row>
    <row r="124" spans="1:17" s="226" customFormat="1">
      <c r="A124" s="227"/>
      <c r="B124" s="228"/>
      <c r="C124" s="229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P124" s="288"/>
      <c r="Q124" s="231"/>
    </row>
    <row r="125" spans="1:17" s="226" customFormat="1">
      <c r="A125" s="227"/>
      <c r="B125" s="228"/>
      <c r="C125" s="229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P125" s="288"/>
      <c r="Q125" s="231"/>
    </row>
    <row r="126" spans="1:17" s="226" customFormat="1">
      <c r="A126" s="227"/>
      <c r="B126" s="228"/>
      <c r="C126" s="229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P126" s="288"/>
      <c r="Q126" s="231"/>
    </row>
    <row r="127" spans="1:17" s="226" customFormat="1">
      <c r="A127" s="227"/>
      <c r="B127" s="228"/>
      <c r="C127" s="229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P127" s="288"/>
      <c r="Q127" s="231"/>
    </row>
    <row r="128" spans="1:17" s="226" customFormat="1">
      <c r="A128" s="227"/>
      <c r="B128" s="228"/>
      <c r="C128" s="229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P128" s="288"/>
      <c r="Q128" s="231"/>
    </row>
    <row r="129" spans="1:17" s="226" customFormat="1">
      <c r="A129" s="227"/>
      <c r="B129" s="228"/>
      <c r="C129" s="229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P129" s="288"/>
      <c r="Q129" s="231"/>
    </row>
    <row r="130" spans="1:17" s="226" customFormat="1">
      <c r="A130" s="227"/>
      <c r="B130" s="228"/>
      <c r="C130" s="229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P130" s="288"/>
      <c r="Q130" s="231"/>
    </row>
    <row r="131" spans="1:17" s="226" customFormat="1">
      <c r="A131" s="227"/>
      <c r="B131" s="228"/>
      <c r="C131" s="229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P131" s="288"/>
      <c r="Q131" s="231"/>
    </row>
    <row r="132" spans="1:17" s="226" customFormat="1">
      <c r="A132" s="227"/>
      <c r="B132" s="228"/>
      <c r="C132" s="229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P132" s="288"/>
      <c r="Q132" s="231"/>
    </row>
    <row r="133" spans="1:17" s="226" customFormat="1">
      <c r="A133" s="227"/>
      <c r="B133" s="228"/>
      <c r="C133" s="229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P133" s="288"/>
      <c r="Q133" s="231"/>
    </row>
    <row r="134" spans="1:17" s="226" customFormat="1">
      <c r="A134" s="227"/>
      <c r="B134" s="228"/>
      <c r="C134" s="229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P134" s="288"/>
      <c r="Q134" s="231"/>
    </row>
    <row r="135" spans="1:17" s="226" customFormat="1">
      <c r="A135" s="227"/>
      <c r="B135" s="228"/>
      <c r="C135" s="229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P135" s="288"/>
      <c r="Q135" s="231"/>
    </row>
    <row r="136" spans="1:17" s="226" customFormat="1">
      <c r="A136" s="232"/>
      <c r="B136" s="233"/>
      <c r="C136" s="234"/>
      <c r="D136" s="235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P136" s="288"/>
      <c r="Q136" s="231"/>
    </row>
    <row r="137" spans="1:17" s="226" customFormat="1">
      <c r="A137" s="227"/>
      <c r="B137" s="228"/>
      <c r="C137" s="229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P137" s="288"/>
      <c r="Q137" s="231"/>
    </row>
    <row r="138" spans="1:17" s="226" customFormat="1">
      <c r="A138" s="227"/>
      <c r="B138" s="228"/>
      <c r="C138" s="229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P138" s="288"/>
      <c r="Q138" s="231"/>
    </row>
    <row r="139" spans="1:17" s="226" customFormat="1">
      <c r="A139" s="227"/>
      <c r="B139" s="228"/>
      <c r="C139" s="229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P139" s="288"/>
      <c r="Q139" s="231"/>
    </row>
    <row r="140" spans="1:17" s="226" customFormat="1">
      <c r="A140" s="232"/>
      <c r="B140" s="233"/>
      <c r="C140" s="234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  <c r="N140" s="235"/>
      <c r="P140" s="288"/>
      <c r="Q140" s="231"/>
    </row>
    <row r="141" spans="1:17" s="226" customFormat="1">
      <c r="A141" s="227"/>
      <c r="B141" s="228"/>
      <c r="C141" s="229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P141" s="288"/>
      <c r="Q141" s="231"/>
    </row>
    <row r="142" spans="1:17" s="226" customFormat="1">
      <c r="A142" s="227"/>
      <c r="B142" s="228"/>
      <c r="C142" s="229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P142" s="288"/>
      <c r="Q142" s="231"/>
    </row>
    <row r="143" spans="1:17" s="226" customFormat="1">
      <c r="A143" s="227"/>
      <c r="B143" s="228"/>
      <c r="C143" s="229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P143" s="288"/>
      <c r="Q143" s="231"/>
    </row>
    <row r="144" spans="1:17" s="226" customFormat="1">
      <c r="A144" s="227"/>
      <c r="B144" s="228"/>
      <c r="C144" s="229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P144" s="288"/>
      <c r="Q144" s="231"/>
    </row>
    <row r="145" spans="1:17" s="226" customFormat="1">
      <c r="A145" s="227"/>
      <c r="B145" s="228"/>
      <c r="C145" s="229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P145" s="288"/>
      <c r="Q145" s="231"/>
    </row>
    <row r="146" spans="1:17" s="226" customFormat="1">
      <c r="A146" s="227"/>
      <c r="B146" s="228"/>
      <c r="C146" s="229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P146" s="288"/>
      <c r="Q146" s="231"/>
    </row>
    <row r="147" spans="1:17" s="226" customFormat="1">
      <c r="A147" s="227"/>
      <c r="B147" s="228"/>
      <c r="C147" s="229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P147" s="288"/>
      <c r="Q147" s="231"/>
    </row>
    <row r="148" spans="1:17" s="226" customFormat="1">
      <c r="A148" s="227"/>
      <c r="B148" s="228"/>
      <c r="C148" s="229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P148" s="288"/>
      <c r="Q148" s="231"/>
    </row>
    <row r="149" spans="1:17" s="226" customFormat="1">
      <c r="A149" s="227"/>
      <c r="B149" s="228"/>
      <c r="C149" s="229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P149" s="288"/>
      <c r="Q149" s="231"/>
    </row>
    <row r="150" spans="1:17" s="226" customFormat="1">
      <c r="A150" s="227"/>
      <c r="B150" s="228"/>
      <c r="C150" s="229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P150" s="288"/>
      <c r="Q150" s="231"/>
    </row>
    <row r="151" spans="1:17" s="226" customFormat="1">
      <c r="A151" s="227"/>
      <c r="B151" s="228"/>
      <c r="C151" s="229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P151" s="288"/>
      <c r="Q151" s="231"/>
    </row>
    <row r="152" spans="1:17" s="226" customFormat="1">
      <c r="A152" s="227"/>
      <c r="B152" s="228"/>
      <c r="C152" s="229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P152" s="288"/>
      <c r="Q152" s="231"/>
    </row>
    <row r="153" spans="1:17" s="226" customFormat="1">
      <c r="A153" s="227"/>
      <c r="B153" s="228"/>
      <c r="C153" s="229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P153" s="288"/>
      <c r="Q153" s="231"/>
    </row>
    <row r="154" spans="1:17" s="226" customFormat="1">
      <c r="A154" s="227"/>
      <c r="B154" s="228"/>
      <c r="C154" s="229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P154" s="288"/>
      <c r="Q154" s="231"/>
    </row>
    <row r="155" spans="1:17" s="226" customFormat="1">
      <c r="A155" s="227"/>
      <c r="B155" s="228"/>
      <c r="C155" s="229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P155" s="288"/>
      <c r="Q155" s="231"/>
    </row>
    <row r="156" spans="1:17" s="226" customFormat="1">
      <c r="A156" s="227"/>
      <c r="B156" s="228"/>
      <c r="C156" s="229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P156" s="288"/>
      <c r="Q156" s="231"/>
    </row>
    <row r="157" spans="1:17" s="226" customFormat="1">
      <c r="A157" s="227"/>
      <c r="B157" s="228"/>
      <c r="C157" s="229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P157" s="288"/>
      <c r="Q157" s="231"/>
    </row>
    <row r="158" spans="1:17" s="226" customFormat="1">
      <c r="A158" s="236"/>
      <c r="B158" s="237"/>
      <c r="C158" s="238"/>
      <c r="D158" s="239"/>
      <c r="E158" s="239"/>
      <c r="F158" s="239"/>
      <c r="G158" s="239"/>
      <c r="H158" s="239"/>
      <c r="I158" s="239"/>
      <c r="J158" s="239"/>
      <c r="K158" s="239"/>
      <c r="L158" s="239"/>
      <c r="M158" s="239"/>
      <c r="N158" s="239"/>
      <c r="P158" s="288"/>
      <c r="Q158" s="231"/>
    </row>
    <row r="159" spans="1:17" s="226" customFormat="1">
      <c r="A159" s="240"/>
      <c r="B159" s="241"/>
      <c r="C159" s="242"/>
      <c r="D159" s="243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P159" s="288"/>
      <c r="Q159" s="231"/>
    </row>
    <row r="160" spans="1:17" s="226" customFormat="1" hidden="1">
      <c r="A160" s="244"/>
      <c r="B160" s="241"/>
      <c r="C160" s="242"/>
      <c r="D160" s="243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P160" s="288"/>
      <c r="Q160" s="231"/>
    </row>
    <row r="161" spans="1:17" s="226" customFormat="1">
      <c r="A161" s="244"/>
      <c r="B161" s="241"/>
      <c r="C161" s="242"/>
      <c r="D161" s="243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P161" s="288"/>
      <c r="Q161" s="231"/>
    </row>
    <row r="162" spans="1:17" s="226" customFormat="1">
      <c r="A162" s="240"/>
      <c r="B162" s="241"/>
      <c r="C162" s="242"/>
      <c r="D162" s="243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P162" s="288"/>
      <c r="Q162" s="231"/>
    </row>
    <row r="163" spans="1:17" s="226" customFormat="1" hidden="1">
      <c r="A163" s="244"/>
      <c r="B163" s="241"/>
      <c r="C163" s="242"/>
      <c r="D163" s="243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P163" s="288"/>
      <c r="Q163" s="231"/>
    </row>
    <row r="164" spans="1:17" s="226" customFormat="1" hidden="1">
      <c r="A164" s="244"/>
      <c r="B164" s="241"/>
      <c r="C164" s="242"/>
      <c r="D164" s="243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P164" s="288"/>
      <c r="Q164" s="231"/>
    </row>
    <row r="165" spans="1:17" s="226" customFormat="1" hidden="1">
      <c r="A165" s="244"/>
      <c r="B165" s="241"/>
      <c r="C165" s="242"/>
      <c r="D165" s="243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P165" s="288"/>
      <c r="Q165" s="231"/>
    </row>
    <row r="166" spans="1:17" s="226" customFormat="1">
      <c r="A166" s="244"/>
      <c r="B166" s="241"/>
      <c r="C166" s="242"/>
      <c r="D166" s="243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P166" s="288"/>
      <c r="Q166" s="231"/>
    </row>
    <row r="167" spans="1:17" s="226" customFormat="1">
      <c r="A167" s="240"/>
      <c r="B167" s="241"/>
      <c r="C167" s="242"/>
      <c r="D167" s="243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P167" s="288"/>
      <c r="Q167" s="231"/>
    </row>
    <row r="168" spans="1:17" s="226" customFormat="1" hidden="1">
      <c r="A168" s="244"/>
      <c r="B168" s="241"/>
      <c r="C168" s="242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P168" s="288"/>
      <c r="Q168" s="231"/>
    </row>
    <row r="169" spans="1:17" s="226" customFormat="1" hidden="1">
      <c r="A169" s="244"/>
      <c r="B169" s="241"/>
      <c r="C169" s="242"/>
      <c r="D169" s="243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P169" s="288"/>
      <c r="Q169" s="231"/>
    </row>
    <row r="170" spans="1:17" s="226" customFormat="1" hidden="1">
      <c r="A170" s="244"/>
      <c r="B170" s="241"/>
      <c r="C170" s="242"/>
      <c r="D170" s="243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P170" s="288"/>
      <c r="Q170" s="231"/>
    </row>
    <row r="171" spans="1:17" s="226" customFormat="1" hidden="1">
      <c r="A171" s="244"/>
      <c r="B171" s="241"/>
      <c r="C171" s="242"/>
      <c r="D171" s="243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P171" s="288"/>
      <c r="Q171" s="231"/>
    </row>
    <row r="172" spans="1:17" s="226" customFormat="1" hidden="1">
      <c r="A172" s="244"/>
      <c r="B172" s="241"/>
      <c r="C172" s="242"/>
      <c r="D172" s="243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P172" s="288"/>
      <c r="Q172" s="231"/>
    </row>
    <row r="173" spans="1:17" s="226" customFormat="1" hidden="1">
      <c r="A173" s="244"/>
      <c r="B173" s="241"/>
      <c r="C173" s="242"/>
      <c r="D173" s="243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P173" s="288"/>
      <c r="Q173" s="231"/>
    </row>
    <row r="174" spans="1:17" s="226" customFormat="1" hidden="1">
      <c r="A174" s="244"/>
      <c r="B174" s="241"/>
      <c r="C174" s="242"/>
      <c r="D174" s="243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P174" s="288"/>
      <c r="Q174" s="231"/>
    </row>
    <row r="175" spans="1:17" s="226" customFormat="1" hidden="1">
      <c r="A175" s="244"/>
      <c r="B175" s="241"/>
      <c r="C175" s="242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P175" s="288"/>
      <c r="Q175" s="231"/>
    </row>
    <row r="176" spans="1:17" s="226" customFormat="1">
      <c r="A176" s="244"/>
      <c r="B176" s="241"/>
      <c r="C176" s="242"/>
      <c r="D176" s="243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P176" s="288"/>
      <c r="Q176" s="231"/>
    </row>
    <row r="177" spans="1:17" s="226" customFormat="1">
      <c r="A177" s="240"/>
      <c r="B177" s="241"/>
      <c r="C177" s="242"/>
      <c r="D177" s="243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P177" s="288"/>
      <c r="Q177" s="231"/>
    </row>
    <row r="178" spans="1:17" s="226" customFormat="1">
      <c r="A178" s="240"/>
      <c r="B178" s="241"/>
      <c r="C178" s="242"/>
      <c r="D178" s="243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P178" s="288"/>
      <c r="Q178" s="231"/>
    </row>
    <row r="179" spans="1:17" s="226" customFormat="1" hidden="1">
      <c r="A179" s="244"/>
      <c r="B179" s="241"/>
      <c r="C179" s="242"/>
      <c r="D179" s="243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P179" s="288"/>
      <c r="Q179" s="231"/>
    </row>
    <row r="180" spans="1:17" s="226" customFormat="1">
      <c r="A180" s="244"/>
      <c r="B180" s="241"/>
      <c r="C180" s="242"/>
      <c r="D180" s="243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P180" s="288"/>
      <c r="Q180" s="231"/>
    </row>
    <row r="181" spans="1:17" s="226" customFormat="1">
      <c r="A181" s="240"/>
      <c r="B181" s="241"/>
      <c r="C181" s="242"/>
      <c r="D181" s="243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P181" s="288"/>
      <c r="Q181" s="231"/>
    </row>
    <row r="182" spans="1:17" s="226" customFormat="1" hidden="1">
      <c r="A182" s="244"/>
      <c r="B182" s="241"/>
      <c r="C182" s="242"/>
      <c r="D182" s="243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P182" s="288"/>
      <c r="Q182" s="231"/>
    </row>
    <row r="183" spans="1:17" s="226" customFormat="1" hidden="1">
      <c r="A183" s="244"/>
      <c r="B183" s="241"/>
      <c r="C183" s="242"/>
      <c r="D183" s="243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P183" s="288"/>
      <c r="Q183" s="231"/>
    </row>
    <row r="184" spans="1:17" s="226" customFormat="1">
      <c r="A184" s="244"/>
      <c r="B184" s="241"/>
      <c r="C184" s="242"/>
      <c r="D184" s="243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P184" s="288"/>
      <c r="Q184" s="231"/>
    </row>
    <row r="185" spans="1:17" s="226" customFormat="1">
      <c r="A185" s="240"/>
      <c r="B185" s="241"/>
      <c r="C185" s="242"/>
      <c r="D185" s="243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P185" s="288"/>
      <c r="Q185" s="231"/>
    </row>
    <row r="186" spans="1:17" s="226" customFormat="1" hidden="1">
      <c r="A186" s="244"/>
      <c r="B186" s="241"/>
      <c r="C186" s="242"/>
      <c r="D186" s="243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P186" s="288"/>
      <c r="Q186" s="231"/>
    </row>
    <row r="187" spans="1:17" s="226" customFormat="1" hidden="1">
      <c r="A187" s="244"/>
      <c r="B187" s="241"/>
      <c r="C187" s="242"/>
      <c r="D187" s="243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P187" s="288"/>
      <c r="Q187" s="231"/>
    </row>
    <row r="188" spans="1:17" s="226" customFormat="1" hidden="1">
      <c r="A188" s="244"/>
      <c r="B188" s="241"/>
      <c r="C188" s="242"/>
      <c r="D188" s="243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P188" s="288"/>
      <c r="Q188" s="231"/>
    </row>
    <row r="189" spans="1:17" s="226" customFormat="1" hidden="1">
      <c r="A189" s="244"/>
      <c r="B189" s="241"/>
      <c r="C189" s="242"/>
      <c r="D189" s="243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P189" s="288"/>
      <c r="Q189" s="231"/>
    </row>
    <row r="190" spans="1:17" s="226" customFormat="1" hidden="1">
      <c r="A190" s="244"/>
      <c r="B190" s="241"/>
      <c r="C190" s="242"/>
      <c r="D190" s="243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P190" s="288"/>
      <c r="Q190" s="231"/>
    </row>
    <row r="191" spans="1:17" s="226" customFormat="1" hidden="1">
      <c r="A191" s="244"/>
      <c r="B191" s="241"/>
      <c r="C191" s="242"/>
      <c r="D191" s="243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P191" s="288"/>
      <c r="Q191" s="231"/>
    </row>
    <row r="192" spans="1:17" s="226" customFormat="1">
      <c r="A192" s="244"/>
      <c r="B192" s="241"/>
      <c r="C192" s="242"/>
      <c r="D192" s="243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P192" s="288"/>
      <c r="Q192" s="231"/>
    </row>
    <row r="193" spans="1:17" s="226" customFormat="1">
      <c r="A193" s="240"/>
      <c r="B193" s="241"/>
      <c r="C193" s="242"/>
      <c r="D193" s="243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P193" s="288"/>
      <c r="Q193" s="231"/>
    </row>
    <row r="194" spans="1:17" s="226" customFormat="1">
      <c r="A194" s="240"/>
      <c r="B194" s="241"/>
      <c r="C194" s="242"/>
      <c r="D194" s="243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P194" s="288"/>
      <c r="Q194" s="231"/>
    </row>
    <row r="195" spans="1:17" s="226" customFormat="1" hidden="1">
      <c r="A195" s="244"/>
      <c r="B195" s="241"/>
      <c r="C195" s="242"/>
      <c r="D195" s="243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P195" s="288"/>
      <c r="Q195" s="231"/>
    </row>
    <row r="196" spans="1:17" s="226" customFormat="1" hidden="1">
      <c r="A196" s="244"/>
      <c r="B196" s="241"/>
      <c r="C196" s="242"/>
      <c r="D196" s="243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P196" s="288"/>
      <c r="Q196" s="231"/>
    </row>
    <row r="197" spans="1:17" s="226" customFormat="1">
      <c r="A197" s="244"/>
      <c r="B197" s="241"/>
      <c r="C197" s="242"/>
      <c r="D197" s="243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P197" s="288"/>
      <c r="Q197" s="231"/>
    </row>
    <row r="198" spans="1:17" s="226" customFormat="1">
      <c r="A198" s="240"/>
      <c r="B198" s="241"/>
      <c r="C198" s="242"/>
      <c r="D198" s="243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P198" s="288"/>
      <c r="Q198" s="231"/>
    </row>
    <row r="199" spans="1:17" s="226" customFormat="1" hidden="1">
      <c r="A199" s="244"/>
      <c r="B199" s="241"/>
      <c r="C199" s="242"/>
      <c r="D199" s="243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P199" s="288"/>
      <c r="Q199" s="231"/>
    </row>
    <row r="200" spans="1:17" s="226" customFormat="1" hidden="1">
      <c r="A200" s="244"/>
      <c r="B200" s="241"/>
      <c r="C200" s="242"/>
      <c r="D200" s="243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P200" s="288"/>
      <c r="Q200" s="231"/>
    </row>
    <row r="201" spans="1:17" s="226" customFormat="1" hidden="1">
      <c r="A201" s="244"/>
      <c r="B201" s="241"/>
      <c r="C201" s="242"/>
      <c r="D201" s="243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P201" s="288"/>
      <c r="Q201" s="231"/>
    </row>
    <row r="202" spans="1:17" s="226" customFormat="1" hidden="1">
      <c r="A202" s="244"/>
      <c r="B202" s="241"/>
      <c r="C202" s="242"/>
      <c r="D202" s="243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P202" s="288"/>
      <c r="Q202" s="231"/>
    </row>
    <row r="203" spans="1:17" ht="14.25" hidden="1">
      <c r="A203" s="245"/>
      <c r="B203" s="246"/>
      <c r="C203" s="247"/>
      <c r="D203" s="248"/>
      <c r="E203" s="248"/>
      <c r="F203" s="248"/>
      <c r="G203" s="248"/>
      <c r="H203" s="248"/>
      <c r="I203" s="248"/>
      <c r="J203" s="248"/>
      <c r="K203" s="248"/>
      <c r="L203" s="248"/>
      <c r="M203" s="248"/>
      <c r="N203" s="248"/>
    </row>
    <row r="204" spans="1:17" ht="14.25" hidden="1">
      <c r="A204" s="245"/>
      <c r="B204" s="246"/>
      <c r="C204" s="247"/>
      <c r="D204" s="248"/>
      <c r="E204" s="248"/>
      <c r="F204" s="248"/>
      <c r="G204" s="248"/>
      <c r="H204" s="248"/>
      <c r="I204" s="248"/>
      <c r="J204" s="248"/>
      <c r="K204" s="248"/>
      <c r="L204" s="248"/>
      <c r="M204" s="248"/>
      <c r="N204" s="248"/>
    </row>
    <row r="205" spans="1:17" ht="14.25" hidden="1">
      <c r="A205" s="245"/>
      <c r="B205" s="246"/>
      <c r="C205" s="247"/>
      <c r="D205" s="248"/>
      <c r="E205" s="248"/>
      <c r="F205" s="248"/>
      <c r="G205" s="248"/>
      <c r="H205" s="248"/>
      <c r="I205" s="248"/>
      <c r="J205" s="248"/>
      <c r="K205" s="248"/>
      <c r="L205" s="248"/>
      <c r="M205" s="248"/>
      <c r="N205" s="248"/>
    </row>
    <row r="206" spans="1:17" ht="14.25" hidden="1">
      <c r="A206" s="245"/>
      <c r="B206" s="246"/>
      <c r="C206" s="247"/>
      <c r="D206" s="248"/>
      <c r="E206" s="248"/>
      <c r="F206" s="248"/>
      <c r="G206" s="248"/>
      <c r="H206" s="248"/>
      <c r="I206" s="248"/>
      <c r="J206" s="248"/>
      <c r="K206" s="248"/>
      <c r="L206" s="248"/>
      <c r="M206" s="248"/>
      <c r="N206" s="248"/>
    </row>
    <row r="207" spans="1:17" s="192" customFormat="1">
      <c r="A207" s="249"/>
      <c r="B207" s="250"/>
      <c r="C207" s="251"/>
      <c r="D207" s="252"/>
      <c r="E207" s="252"/>
      <c r="F207" s="252"/>
      <c r="G207" s="252"/>
      <c r="H207" s="252"/>
      <c r="I207" s="252"/>
      <c r="J207" s="252"/>
      <c r="K207" s="252"/>
      <c r="L207" s="252"/>
      <c r="M207" s="252"/>
      <c r="N207" s="252"/>
      <c r="P207" s="290"/>
      <c r="Q207" s="253"/>
    </row>
    <row r="208" spans="1:17" s="192" customFormat="1">
      <c r="A208" s="254"/>
      <c r="B208" s="250"/>
      <c r="C208" s="251"/>
      <c r="D208" s="252"/>
      <c r="E208" s="252"/>
      <c r="F208" s="252"/>
      <c r="G208" s="252"/>
      <c r="H208" s="252"/>
      <c r="I208" s="252"/>
      <c r="J208" s="252"/>
      <c r="K208" s="252"/>
      <c r="L208" s="252"/>
      <c r="M208" s="252"/>
      <c r="N208" s="252"/>
      <c r="P208" s="290"/>
      <c r="Q208" s="253"/>
    </row>
    <row r="209" spans="1:17" s="192" customFormat="1" hidden="1">
      <c r="A209" s="249"/>
      <c r="B209" s="250"/>
      <c r="C209" s="251"/>
      <c r="D209" s="252"/>
      <c r="E209" s="252"/>
      <c r="F209" s="252"/>
      <c r="G209" s="252"/>
      <c r="H209" s="252"/>
      <c r="I209" s="252"/>
      <c r="J209" s="252"/>
      <c r="K209" s="252"/>
      <c r="L209" s="252"/>
      <c r="M209" s="252"/>
      <c r="N209" s="252"/>
      <c r="P209" s="290"/>
      <c r="Q209" s="253"/>
    </row>
    <row r="210" spans="1:17" ht="14.25" hidden="1">
      <c r="A210" s="245"/>
      <c r="B210" s="246"/>
      <c r="C210" s="247"/>
      <c r="D210" s="248"/>
      <c r="E210" s="248"/>
      <c r="F210" s="248"/>
      <c r="G210" s="248"/>
      <c r="H210" s="248"/>
      <c r="I210" s="248"/>
      <c r="J210" s="248"/>
      <c r="K210" s="248"/>
      <c r="L210" s="248"/>
      <c r="M210" s="248"/>
      <c r="N210" s="248"/>
    </row>
    <row r="211" spans="1:17" ht="14.25" hidden="1">
      <c r="A211" s="245"/>
      <c r="B211" s="246"/>
      <c r="C211" s="247"/>
      <c r="D211" s="248"/>
      <c r="E211" s="248"/>
      <c r="F211" s="248"/>
      <c r="G211" s="248"/>
      <c r="H211" s="248"/>
      <c r="I211" s="248"/>
      <c r="J211" s="248"/>
      <c r="K211" s="248"/>
      <c r="L211" s="248"/>
      <c r="M211" s="248"/>
      <c r="N211" s="248"/>
    </row>
    <row r="212" spans="1:17" s="192" customFormat="1" hidden="1">
      <c r="A212" s="249"/>
      <c r="B212" s="250"/>
      <c r="C212" s="251"/>
      <c r="D212" s="252"/>
      <c r="E212" s="252"/>
      <c r="F212" s="252"/>
      <c r="G212" s="252"/>
      <c r="H212" s="252"/>
      <c r="I212" s="252"/>
      <c r="J212" s="252"/>
      <c r="K212" s="252"/>
      <c r="L212" s="252"/>
      <c r="M212" s="252"/>
      <c r="N212" s="252"/>
      <c r="P212" s="290"/>
      <c r="Q212" s="253"/>
    </row>
    <row r="213" spans="1:17" ht="14.25" hidden="1">
      <c r="A213" s="245"/>
      <c r="B213" s="246"/>
      <c r="C213" s="247"/>
      <c r="D213" s="248"/>
      <c r="E213" s="248"/>
      <c r="F213" s="248"/>
      <c r="G213" s="248"/>
      <c r="H213" s="248"/>
      <c r="I213" s="248"/>
      <c r="J213" s="248"/>
      <c r="K213" s="248"/>
      <c r="L213" s="248"/>
      <c r="M213" s="248"/>
      <c r="N213" s="248"/>
    </row>
    <row r="214" spans="1:17" ht="14.25" hidden="1">
      <c r="A214" s="245"/>
      <c r="B214" s="246"/>
      <c r="C214" s="247"/>
      <c r="D214" s="248"/>
      <c r="E214" s="248"/>
      <c r="F214" s="248"/>
      <c r="G214" s="248"/>
      <c r="H214" s="248"/>
      <c r="I214" s="248"/>
      <c r="J214" s="248"/>
      <c r="K214" s="248"/>
      <c r="L214" s="248"/>
      <c r="M214" s="248"/>
      <c r="N214" s="248"/>
    </row>
    <row r="215" spans="1:17" ht="14.25" hidden="1">
      <c r="A215" s="245"/>
      <c r="B215" s="246"/>
      <c r="C215" s="247"/>
      <c r="D215" s="248"/>
      <c r="E215" s="248"/>
      <c r="F215" s="248"/>
      <c r="G215" s="248"/>
      <c r="H215" s="248"/>
      <c r="I215" s="248"/>
      <c r="J215" s="248"/>
      <c r="K215" s="248"/>
      <c r="L215" s="248"/>
      <c r="M215" s="248"/>
      <c r="N215" s="248"/>
    </row>
    <row r="216" spans="1:17" s="192" customFormat="1">
      <c r="A216" s="249"/>
      <c r="B216" s="250"/>
      <c r="C216" s="251"/>
      <c r="D216" s="252"/>
      <c r="E216" s="252"/>
      <c r="F216" s="252"/>
      <c r="G216" s="252"/>
      <c r="H216" s="252"/>
      <c r="I216" s="252"/>
      <c r="J216" s="252"/>
      <c r="K216" s="252"/>
      <c r="L216" s="252"/>
      <c r="M216" s="252"/>
      <c r="N216" s="252"/>
      <c r="P216" s="290"/>
      <c r="Q216" s="253"/>
    </row>
    <row r="217" spans="1:17" s="192" customFormat="1">
      <c r="A217" s="254"/>
      <c r="B217" s="250"/>
      <c r="C217" s="251"/>
      <c r="D217" s="252"/>
      <c r="E217" s="252"/>
      <c r="F217" s="252"/>
      <c r="G217" s="252"/>
      <c r="H217" s="252"/>
      <c r="I217" s="252"/>
      <c r="J217" s="252"/>
      <c r="K217" s="252"/>
      <c r="L217" s="252"/>
      <c r="M217" s="252"/>
      <c r="N217" s="252"/>
      <c r="P217" s="290"/>
      <c r="Q217" s="253"/>
    </row>
    <row r="218" spans="1:17" s="192" customFormat="1">
      <c r="A218" s="254"/>
      <c r="B218" s="250"/>
      <c r="C218" s="251"/>
      <c r="D218" s="252"/>
      <c r="E218" s="252"/>
      <c r="F218" s="252"/>
      <c r="G218" s="252"/>
      <c r="H218" s="252"/>
      <c r="I218" s="252"/>
      <c r="J218" s="252"/>
      <c r="K218" s="252"/>
      <c r="L218" s="252"/>
      <c r="M218" s="252"/>
      <c r="N218" s="252"/>
      <c r="P218" s="290"/>
      <c r="Q218" s="253"/>
    </row>
    <row r="219" spans="1:17" ht="14.25" hidden="1">
      <c r="A219" s="245"/>
      <c r="B219" s="246"/>
      <c r="C219" s="247"/>
      <c r="D219" s="248"/>
      <c r="E219" s="248"/>
      <c r="F219" s="248"/>
      <c r="G219" s="248"/>
      <c r="H219" s="248"/>
      <c r="I219" s="248"/>
      <c r="J219" s="248"/>
      <c r="K219" s="248"/>
      <c r="L219" s="248"/>
      <c r="M219" s="248"/>
      <c r="N219" s="248"/>
    </row>
    <row r="220" spans="1:17" s="192" customFormat="1">
      <c r="A220" s="249"/>
      <c r="B220" s="250"/>
      <c r="C220" s="251"/>
      <c r="D220" s="252"/>
      <c r="E220" s="252"/>
      <c r="F220" s="252"/>
      <c r="G220" s="252"/>
      <c r="H220" s="252"/>
      <c r="I220" s="252"/>
      <c r="J220" s="252"/>
      <c r="K220" s="252"/>
      <c r="L220" s="252"/>
      <c r="M220" s="252"/>
      <c r="N220" s="252"/>
      <c r="P220" s="290"/>
      <c r="Q220" s="253"/>
    </row>
    <row r="221" spans="1:17" s="192" customFormat="1">
      <c r="A221" s="254"/>
      <c r="B221" s="250"/>
      <c r="C221" s="251"/>
      <c r="D221" s="252"/>
      <c r="E221" s="252"/>
      <c r="F221" s="252"/>
      <c r="G221" s="252"/>
      <c r="H221" s="252"/>
      <c r="I221" s="252"/>
      <c r="J221" s="252"/>
      <c r="K221" s="252"/>
      <c r="L221" s="252"/>
      <c r="M221" s="252"/>
      <c r="N221" s="252"/>
      <c r="P221" s="290"/>
      <c r="Q221" s="253"/>
    </row>
    <row r="222" spans="1:17" ht="14.25" hidden="1">
      <c r="A222" s="245"/>
      <c r="B222" s="246"/>
      <c r="C222" s="247"/>
      <c r="D222" s="248"/>
      <c r="E222" s="248"/>
      <c r="F222" s="248"/>
      <c r="G222" s="248"/>
      <c r="H222" s="248"/>
      <c r="I222" s="248"/>
      <c r="J222" s="248"/>
      <c r="K222" s="248"/>
      <c r="L222" s="248"/>
      <c r="M222" s="248"/>
      <c r="N222" s="248"/>
    </row>
    <row r="223" spans="1:17" ht="14.25" hidden="1">
      <c r="A223" s="245"/>
      <c r="B223" s="246"/>
      <c r="C223" s="247"/>
      <c r="D223" s="248"/>
      <c r="E223" s="248"/>
      <c r="F223" s="248"/>
      <c r="G223" s="248"/>
      <c r="H223" s="248"/>
      <c r="I223" s="248"/>
      <c r="J223" s="248"/>
      <c r="K223" s="248"/>
      <c r="L223" s="248"/>
      <c r="M223" s="248"/>
      <c r="N223" s="248"/>
    </row>
    <row r="224" spans="1:17" s="192" customFormat="1">
      <c r="A224" s="249"/>
      <c r="B224" s="250"/>
      <c r="C224" s="251"/>
      <c r="D224" s="252"/>
      <c r="E224" s="252"/>
      <c r="F224" s="252"/>
      <c r="G224" s="252"/>
      <c r="H224" s="252"/>
      <c r="I224" s="252"/>
      <c r="J224" s="252"/>
      <c r="K224" s="252"/>
      <c r="L224" s="252"/>
      <c r="M224" s="252"/>
      <c r="N224" s="252"/>
      <c r="P224" s="290"/>
      <c r="Q224" s="253"/>
    </row>
    <row r="225" spans="1:17" s="192" customFormat="1">
      <c r="A225" s="254"/>
      <c r="B225" s="250"/>
      <c r="C225" s="251"/>
      <c r="D225" s="252"/>
      <c r="E225" s="252"/>
      <c r="F225" s="252"/>
      <c r="G225" s="252"/>
      <c r="H225" s="252"/>
      <c r="I225" s="252"/>
      <c r="J225" s="252"/>
      <c r="K225" s="252"/>
      <c r="L225" s="252"/>
      <c r="M225" s="252"/>
      <c r="N225" s="252"/>
      <c r="P225" s="290"/>
      <c r="Q225" s="253"/>
    </row>
    <row r="226" spans="1:17" s="192" customFormat="1" hidden="1">
      <c r="A226" s="249"/>
      <c r="B226" s="250"/>
      <c r="C226" s="251"/>
      <c r="D226" s="252"/>
      <c r="E226" s="252"/>
      <c r="F226" s="252"/>
      <c r="G226" s="252"/>
      <c r="H226" s="252"/>
      <c r="I226" s="252"/>
      <c r="J226" s="252"/>
      <c r="K226" s="252"/>
      <c r="L226" s="252"/>
      <c r="M226" s="252"/>
      <c r="N226" s="252"/>
      <c r="P226" s="290"/>
      <c r="Q226" s="253"/>
    </row>
    <row r="227" spans="1:17" ht="14.25" hidden="1">
      <c r="A227" s="245"/>
      <c r="B227" s="246"/>
      <c r="C227" s="247"/>
      <c r="D227" s="248"/>
      <c r="E227" s="248"/>
      <c r="F227" s="248"/>
      <c r="G227" s="248"/>
      <c r="H227" s="248"/>
      <c r="I227" s="248"/>
      <c r="J227" s="248"/>
      <c r="K227" s="248"/>
      <c r="L227" s="248"/>
      <c r="M227" s="248"/>
      <c r="N227" s="248"/>
    </row>
    <row r="228" spans="1:17" ht="14.25" hidden="1">
      <c r="A228" s="245"/>
      <c r="B228" s="246"/>
      <c r="C228" s="247"/>
      <c r="D228" s="248"/>
      <c r="E228" s="248"/>
      <c r="F228" s="248"/>
      <c r="G228" s="248"/>
      <c r="H228" s="248"/>
      <c r="I228" s="248"/>
      <c r="J228" s="248"/>
      <c r="K228" s="248"/>
      <c r="L228" s="248"/>
      <c r="M228" s="248"/>
      <c r="N228" s="248"/>
    </row>
    <row r="229" spans="1:17" s="192" customFormat="1" hidden="1">
      <c r="A229" s="249"/>
      <c r="B229" s="250"/>
      <c r="C229" s="251"/>
      <c r="D229" s="252"/>
      <c r="E229" s="252"/>
      <c r="F229" s="252"/>
      <c r="G229" s="252"/>
      <c r="H229" s="252"/>
      <c r="I229" s="252"/>
      <c r="J229" s="252"/>
      <c r="K229" s="252"/>
      <c r="L229" s="252"/>
      <c r="M229" s="252"/>
      <c r="N229" s="252"/>
      <c r="P229" s="290"/>
      <c r="Q229" s="253"/>
    </row>
    <row r="230" spans="1:17" ht="14.25" hidden="1">
      <c r="A230" s="245"/>
      <c r="B230" s="246"/>
      <c r="C230" s="247"/>
      <c r="D230" s="248"/>
      <c r="E230" s="248"/>
      <c r="F230" s="248"/>
      <c r="G230" s="248"/>
      <c r="H230" s="248"/>
      <c r="I230" s="248"/>
      <c r="J230" s="248"/>
      <c r="K230" s="248"/>
      <c r="L230" s="248"/>
      <c r="M230" s="248"/>
      <c r="N230" s="248"/>
    </row>
    <row r="231" spans="1:17" ht="14.25" hidden="1">
      <c r="A231" s="245"/>
      <c r="B231" s="246"/>
      <c r="C231" s="247"/>
      <c r="D231" s="248"/>
      <c r="E231" s="248"/>
      <c r="F231" s="248"/>
      <c r="G231" s="248"/>
      <c r="H231" s="248"/>
      <c r="I231" s="248"/>
      <c r="J231" s="248"/>
      <c r="K231" s="248"/>
      <c r="L231" s="248"/>
      <c r="M231" s="248"/>
      <c r="N231" s="248"/>
    </row>
    <row r="232" spans="1:17" s="192" customFormat="1">
      <c r="A232" s="249"/>
      <c r="B232" s="250"/>
      <c r="C232" s="251"/>
      <c r="D232" s="252"/>
      <c r="E232" s="252"/>
      <c r="F232" s="252"/>
      <c r="G232" s="252"/>
      <c r="H232" s="252"/>
      <c r="I232" s="252"/>
      <c r="J232" s="252"/>
      <c r="K232" s="252"/>
      <c r="L232" s="252"/>
      <c r="M232" s="252"/>
      <c r="N232" s="252"/>
      <c r="P232" s="290"/>
      <c r="Q232" s="253"/>
    </row>
    <row r="233" spans="1:17" s="192" customFormat="1">
      <c r="A233" s="254"/>
      <c r="B233" s="250"/>
      <c r="C233" s="251"/>
      <c r="D233" s="252"/>
      <c r="E233" s="252"/>
      <c r="F233" s="252"/>
      <c r="G233" s="252"/>
      <c r="H233" s="252"/>
      <c r="I233" s="252"/>
      <c r="J233" s="252"/>
      <c r="K233" s="252"/>
      <c r="L233" s="252"/>
      <c r="M233" s="252"/>
      <c r="N233" s="252"/>
      <c r="P233" s="290"/>
      <c r="Q233" s="253"/>
    </row>
    <row r="234" spans="1:17" s="192" customFormat="1">
      <c r="A234" s="254"/>
      <c r="B234" s="250"/>
      <c r="C234" s="251"/>
      <c r="D234" s="252"/>
      <c r="E234" s="252"/>
      <c r="F234" s="252"/>
      <c r="G234" s="252"/>
      <c r="H234" s="252"/>
      <c r="I234" s="252"/>
      <c r="J234" s="252"/>
      <c r="K234" s="252"/>
      <c r="L234" s="252"/>
      <c r="M234" s="252"/>
      <c r="N234" s="252"/>
      <c r="P234" s="290"/>
      <c r="Q234" s="253"/>
    </row>
    <row r="235" spans="1:17" ht="14.25" hidden="1">
      <c r="A235" s="245"/>
      <c r="B235" s="246"/>
      <c r="C235" s="247"/>
      <c r="D235" s="248"/>
      <c r="E235" s="248"/>
      <c r="F235" s="248"/>
      <c r="G235" s="248"/>
      <c r="H235" s="248"/>
      <c r="I235" s="248"/>
      <c r="J235" s="248"/>
      <c r="K235" s="248"/>
      <c r="L235" s="248"/>
      <c r="M235" s="248"/>
      <c r="N235" s="248"/>
    </row>
    <row r="236" spans="1:17" s="192" customFormat="1">
      <c r="A236" s="249"/>
      <c r="B236" s="250"/>
      <c r="C236" s="251"/>
      <c r="D236" s="252"/>
      <c r="E236" s="252"/>
      <c r="F236" s="252"/>
      <c r="G236" s="252"/>
      <c r="H236" s="252"/>
      <c r="I236" s="252"/>
      <c r="J236" s="252"/>
      <c r="K236" s="252"/>
      <c r="L236" s="252"/>
      <c r="M236" s="252"/>
      <c r="N236" s="252"/>
      <c r="P236" s="290"/>
      <c r="Q236" s="253"/>
    </row>
    <row r="237" spans="1:17" s="192" customFormat="1">
      <c r="A237" s="254"/>
      <c r="B237" s="250"/>
      <c r="C237" s="251"/>
      <c r="D237" s="252"/>
      <c r="E237" s="252"/>
      <c r="F237" s="252"/>
      <c r="G237" s="252"/>
      <c r="H237" s="252"/>
      <c r="I237" s="252"/>
      <c r="J237" s="252"/>
      <c r="K237" s="252"/>
      <c r="L237" s="252"/>
      <c r="M237" s="252"/>
      <c r="N237" s="252"/>
      <c r="P237" s="290"/>
      <c r="Q237" s="253"/>
    </row>
    <row r="238" spans="1:17" s="192" customFormat="1">
      <c r="A238" s="254"/>
      <c r="B238" s="250"/>
      <c r="C238" s="251"/>
      <c r="D238" s="252"/>
      <c r="E238" s="252"/>
      <c r="F238" s="252"/>
      <c r="G238" s="252"/>
      <c r="H238" s="252"/>
      <c r="I238" s="252"/>
      <c r="J238" s="252"/>
      <c r="K238" s="252"/>
      <c r="L238" s="252"/>
      <c r="M238" s="252"/>
      <c r="N238" s="252"/>
      <c r="P238" s="290"/>
      <c r="Q238" s="253"/>
    </row>
    <row r="239" spans="1:17" s="192" customFormat="1">
      <c r="A239" s="254"/>
      <c r="B239" s="250"/>
      <c r="C239" s="251"/>
      <c r="D239" s="252"/>
      <c r="E239" s="252"/>
      <c r="F239" s="252"/>
      <c r="G239" s="252"/>
      <c r="H239" s="252"/>
      <c r="I239" s="252"/>
      <c r="J239" s="252"/>
      <c r="K239" s="252"/>
      <c r="L239" s="252"/>
      <c r="M239" s="252"/>
      <c r="N239" s="252"/>
      <c r="P239" s="290"/>
      <c r="Q239" s="253"/>
    </row>
    <row r="240" spans="1:17" s="192" customFormat="1">
      <c r="A240" s="249"/>
      <c r="B240" s="250"/>
      <c r="C240" s="251"/>
      <c r="D240" s="252"/>
      <c r="E240" s="252"/>
      <c r="F240" s="252"/>
      <c r="G240" s="252"/>
      <c r="H240" s="252"/>
      <c r="I240" s="252"/>
      <c r="J240" s="252"/>
      <c r="K240" s="252"/>
      <c r="L240" s="252"/>
      <c r="M240" s="252"/>
      <c r="N240" s="252"/>
      <c r="P240" s="290"/>
      <c r="Q240" s="253"/>
    </row>
    <row r="241" spans="1:17" s="192" customFormat="1">
      <c r="A241" s="254"/>
      <c r="B241" s="250"/>
      <c r="C241" s="251"/>
      <c r="D241" s="252"/>
      <c r="E241" s="252"/>
      <c r="F241" s="252"/>
      <c r="G241" s="252"/>
      <c r="H241" s="252"/>
      <c r="I241" s="252"/>
      <c r="J241" s="252"/>
      <c r="K241" s="252"/>
      <c r="L241" s="252"/>
      <c r="M241" s="252"/>
      <c r="N241" s="252"/>
      <c r="P241" s="290"/>
      <c r="Q241" s="253"/>
    </row>
    <row r="242" spans="1:17" s="192" customFormat="1">
      <c r="A242" s="254"/>
      <c r="B242" s="250"/>
      <c r="C242" s="251"/>
      <c r="D242" s="252"/>
      <c r="E242" s="252"/>
      <c r="F242" s="252"/>
      <c r="G242" s="252"/>
      <c r="H242" s="252"/>
      <c r="I242" s="252"/>
      <c r="J242" s="252"/>
      <c r="K242" s="252"/>
      <c r="L242" s="252"/>
      <c r="M242" s="252"/>
      <c r="N242" s="252"/>
      <c r="P242" s="290"/>
      <c r="Q242" s="253"/>
    </row>
    <row r="243" spans="1:17" ht="14.25">
      <c r="A243" s="245"/>
      <c r="B243" s="246"/>
      <c r="C243" s="247"/>
      <c r="D243" s="248"/>
      <c r="E243" s="248"/>
      <c r="F243" s="248"/>
      <c r="G243" s="248"/>
      <c r="H243" s="248"/>
      <c r="I243" s="248"/>
      <c r="J243" s="248"/>
      <c r="K243" s="248"/>
      <c r="L243" s="248"/>
      <c r="M243" s="248"/>
      <c r="N243" s="248"/>
    </row>
    <row r="244" spans="1:17" s="192" customFormat="1">
      <c r="A244" s="254"/>
      <c r="B244" s="250"/>
      <c r="C244" s="251"/>
      <c r="D244" s="252"/>
      <c r="E244" s="252"/>
      <c r="F244" s="252"/>
      <c r="G244" s="252"/>
      <c r="H244" s="252"/>
      <c r="I244" s="252"/>
      <c r="J244" s="252"/>
      <c r="K244" s="252"/>
      <c r="L244" s="252"/>
      <c r="M244" s="252"/>
      <c r="N244" s="252"/>
      <c r="P244" s="290"/>
      <c r="Q244" s="253"/>
    </row>
    <row r="245" spans="1:17" ht="14.25">
      <c r="A245" s="245"/>
      <c r="B245" s="246"/>
      <c r="C245" s="247"/>
      <c r="D245" s="248"/>
      <c r="E245" s="248"/>
      <c r="F245" s="248"/>
      <c r="G245" s="248"/>
      <c r="H245" s="248"/>
      <c r="I245" s="248"/>
      <c r="J245" s="248"/>
      <c r="K245" s="248"/>
      <c r="L245" s="248"/>
      <c r="M245" s="248"/>
      <c r="N245" s="248"/>
    </row>
    <row r="246" spans="1:17" s="192" customFormat="1">
      <c r="A246" s="254"/>
      <c r="B246" s="250"/>
      <c r="C246" s="251"/>
      <c r="D246" s="252"/>
      <c r="E246" s="252"/>
      <c r="F246" s="252"/>
      <c r="G246" s="252"/>
      <c r="H246" s="252"/>
      <c r="I246" s="252"/>
      <c r="J246" s="252"/>
      <c r="K246" s="252"/>
      <c r="L246" s="252"/>
      <c r="M246" s="252"/>
      <c r="N246" s="252"/>
      <c r="P246" s="290"/>
      <c r="Q246" s="253"/>
    </row>
    <row r="247" spans="1:17" s="192" customFormat="1">
      <c r="A247" s="254"/>
      <c r="B247" s="250"/>
      <c r="C247" s="251"/>
      <c r="D247" s="252"/>
      <c r="E247" s="252"/>
      <c r="F247" s="252"/>
      <c r="G247" s="252"/>
      <c r="H247" s="252"/>
      <c r="I247" s="252"/>
      <c r="J247" s="252"/>
      <c r="K247" s="252"/>
      <c r="L247" s="252"/>
      <c r="M247" s="252"/>
      <c r="N247" s="252"/>
      <c r="P247" s="290"/>
      <c r="Q247" s="253"/>
    </row>
    <row r="248" spans="1:17" ht="14.25">
      <c r="A248" s="245"/>
      <c r="B248" s="246"/>
      <c r="C248" s="247"/>
      <c r="D248" s="248"/>
      <c r="E248" s="248"/>
      <c r="F248" s="248"/>
      <c r="G248" s="248"/>
      <c r="H248" s="248"/>
      <c r="I248" s="248"/>
      <c r="J248" s="248"/>
      <c r="K248" s="248"/>
      <c r="L248" s="248"/>
      <c r="M248" s="248"/>
      <c r="N248" s="248"/>
    </row>
    <row r="249" spans="1:17" s="192" customFormat="1">
      <c r="A249" s="254"/>
      <c r="B249" s="250"/>
      <c r="C249" s="251"/>
      <c r="D249" s="252"/>
      <c r="E249" s="252"/>
      <c r="F249" s="252"/>
      <c r="G249" s="252"/>
      <c r="H249" s="252"/>
      <c r="I249" s="252"/>
      <c r="J249" s="252"/>
      <c r="K249" s="252"/>
      <c r="L249" s="252"/>
      <c r="M249" s="252"/>
      <c r="N249" s="252"/>
      <c r="P249" s="290"/>
      <c r="Q249" s="253"/>
    </row>
    <row r="250" spans="1:17" ht="14.25">
      <c r="A250" s="245"/>
      <c r="B250" s="246"/>
      <c r="C250" s="247"/>
      <c r="D250" s="248"/>
      <c r="E250" s="248"/>
      <c r="F250" s="248"/>
      <c r="G250" s="248"/>
      <c r="H250" s="248"/>
      <c r="I250" s="248"/>
      <c r="J250" s="248"/>
      <c r="K250" s="248"/>
      <c r="L250" s="248"/>
      <c r="M250" s="248"/>
      <c r="N250" s="248"/>
    </row>
    <row r="251" spans="1:17" s="192" customFormat="1">
      <c r="A251" s="254"/>
      <c r="B251" s="250"/>
      <c r="C251" s="251"/>
      <c r="D251" s="252"/>
      <c r="E251" s="252"/>
      <c r="F251" s="252"/>
      <c r="G251" s="252"/>
      <c r="H251" s="252"/>
      <c r="I251" s="252"/>
      <c r="J251" s="252"/>
      <c r="K251" s="252"/>
      <c r="L251" s="252"/>
      <c r="M251" s="252"/>
      <c r="N251" s="252"/>
      <c r="P251" s="290"/>
      <c r="Q251" s="253"/>
    </row>
    <row r="252" spans="1:17" ht="14.25">
      <c r="A252" s="245"/>
      <c r="B252" s="246"/>
      <c r="C252" s="247"/>
      <c r="D252" s="248"/>
      <c r="E252" s="248"/>
      <c r="F252" s="248"/>
      <c r="G252" s="248"/>
      <c r="H252" s="248"/>
      <c r="I252" s="248"/>
      <c r="J252" s="248"/>
      <c r="K252" s="248"/>
      <c r="L252" s="248"/>
      <c r="M252" s="248"/>
      <c r="N252" s="248"/>
    </row>
    <row r="253" spans="1:17" s="192" customFormat="1">
      <c r="A253" s="254"/>
      <c r="B253" s="250"/>
      <c r="C253" s="251"/>
      <c r="D253" s="252"/>
      <c r="E253" s="252"/>
      <c r="F253" s="252"/>
      <c r="G253" s="252"/>
      <c r="H253" s="252"/>
      <c r="I253" s="252"/>
      <c r="J253" s="252"/>
      <c r="K253" s="252"/>
      <c r="L253" s="252"/>
      <c r="M253" s="252"/>
      <c r="N253" s="252"/>
      <c r="P253" s="290"/>
      <c r="Q253" s="253"/>
    </row>
    <row r="254" spans="1:17" s="192" customFormat="1">
      <c r="A254" s="254"/>
      <c r="B254" s="250"/>
      <c r="C254" s="251"/>
      <c r="D254" s="252"/>
      <c r="E254" s="252"/>
      <c r="F254" s="252"/>
      <c r="G254" s="252"/>
      <c r="H254" s="252"/>
      <c r="I254" s="252"/>
      <c r="J254" s="252"/>
      <c r="K254" s="252"/>
      <c r="L254" s="252"/>
      <c r="M254" s="252"/>
      <c r="N254" s="252"/>
      <c r="P254" s="290"/>
      <c r="Q254" s="253"/>
    </row>
    <row r="255" spans="1:17" s="192" customFormat="1">
      <c r="A255" s="254"/>
      <c r="B255" s="250"/>
      <c r="C255" s="251"/>
      <c r="D255" s="252"/>
      <c r="E255" s="252"/>
      <c r="F255" s="252"/>
      <c r="G255" s="252"/>
      <c r="H255" s="252"/>
      <c r="I255" s="252"/>
      <c r="J255" s="252"/>
      <c r="K255" s="252"/>
      <c r="L255" s="252"/>
      <c r="M255" s="252"/>
      <c r="N255" s="252"/>
      <c r="P255" s="290"/>
      <c r="Q255" s="253"/>
    </row>
    <row r="256" spans="1:17" s="192" customFormat="1">
      <c r="A256" s="255"/>
      <c r="B256" s="256"/>
      <c r="C256" s="257"/>
      <c r="D256" s="252"/>
      <c r="E256" s="258"/>
      <c r="F256" s="258"/>
      <c r="G256" s="258"/>
      <c r="H256" s="258"/>
      <c r="I256" s="252"/>
      <c r="J256" s="252"/>
      <c r="K256" s="252"/>
      <c r="L256" s="252"/>
      <c r="M256" s="252"/>
      <c r="N256" s="252"/>
      <c r="P256" s="290"/>
      <c r="Q256" s="253"/>
    </row>
    <row r="257" spans="1:17" s="192" customFormat="1">
      <c r="A257" s="255"/>
      <c r="B257" s="256"/>
      <c r="C257" s="257"/>
      <c r="D257" s="252"/>
      <c r="E257" s="258"/>
      <c r="F257" s="258"/>
      <c r="G257" s="258"/>
      <c r="H257" s="258"/>
      <c r="I257" s="252"/>
      <c r="J257" s="252"/>
      <c r="K257" s="252"/>
      <c r="L257" s="252"/>
      <c r="M257" s="252"/>
      <c r="N257" s="252"/>
      <c r="P257" s="290"/>
      <c r="Q257" s="253"/>
    </row>
    <row r="258" spans="1:17" ht="14.25" hidden="1">
      <c r="A258" s="259"/>
      <c r="B258" s="260"/>
      <c r="C258" s="261"/>
      <c r="D258" s="262"/>
      <c r="E258" s="262"/>
      <c r="F258" s="262"/>
      <c r="G258" s="262"/>
      <c r="H258" s="262"/>
      <c r="I258" s="248"/>
      <c r="J258" s="248"/>
      <c r="K258" s="248"/>
      <c r="L258" s="248"/>
      <c r="M258" s="248"/>
      <c r="N258" s="248"/>
    </row>
    <row r="259" spans="1:17" s="192" customFormat="1">
      <c r="A259" s="255"/>
      <c r="B259" s="256"/>
      <c r="C259" s="257"/>
      <c r="D259" s="252"/>
      <c r="E259" s="258"/>
      <c r="F259" s="258"/>
      <c r="G259" s="258"/>
      <c r="H259" s="258"/>
      <c r="I259" s="252"/>
      <c r="J259" s="252"/>
      <c r="K259" s="252"/>
      <c r="L259" s="252"/>
      <c r="M259" s="252"/>
      <c r="N259" s="252"/>
      <c r="P259" s="290"/>
      <c r="Q259" s="253"/>
    </row>
    <row r="260" spans="1:17" s="192" customFormat="1">
      <c r="A260" s="255"/>
      <c r="B260" s="256"/>
      <c r="C260" s="257"/>
      <c r="D260" s="252"/>
      <c r="E260" s="258"/>
      <c r="F260" s="258"/>
      <c r="G260" s="258"/>
      <c r="H260" s="258"/>
      <c r="I260" s="252"/>
      <c r="J260" s="252"/>
      <c r="K260" s="252"/>
      <c r="L260" s="252"/>
      <c r="M260" s="252"/>
      <c r="N260" s="252"/>
      <c r="P260" s="290"/>
      <c r="Q260" s="253"/>
    </row>
    <row r="261" spans="1:17" ht="14.25" hidden="1">
      <c r="A261" s="259"/>
      <c r="B261" s="263"/>
      <c r="C261" s="264"/>
      <c r="D261" s="248"/>
      <c r="E261" s="262"/>
      <c r="F261" s="262"/>
      <c r="G261" s="248"/>
      <c r="H261" s="262"/>
      <c r="I261" s="248"/>
      <c r="J261" s="248"/>
      <c r="K261" s="248"/>
      <c r="L261" s="248"/>
      <c r="M261" s="248"/>
      <c r="N261" s="248"/>
    </row>
    <row r="262" spans="1:17" ht="14.25" hidden="1">
      <c r="A262" s="259"/>
      <c r="B262" s="263"/>
      <c r="C262" s="264"/>
      <c r="D262" s="248"/>
      <c r="E262" s="262"/>
      <c r="F262" s="262"/>
      <c r="G262" s="248"/>
      <c r="H262" s="262"/>
      <c r="I262" s="248"/>
      <c r="J262" s="248"/>
      <c r="K262" s="248"/>
      <c r="L262" s="248"/>
      <c r="M262" s="248"/>
      <c r="N262" s="248"/>
    </row>
    <row r="263" spans="1:17" s="192" customFormat="1">
      <c r="A263" s="255"/>
      <c r="B263" s="256"/>
      <c r="C263" s="257"/>
      <c r="D263" s="252"/>
      <c r="E263" s="258"/>
      <c r="F263" s="258"/>
      <c r="G263" s="258"/>
      <c r="H263" s="258"/>
      <c r="I263" s="252"/>
      <c r="J263" s="252"/>
      <c r="K263" s="252"/>
      <c r="L263" s="252"/>
      <c r="M263" s="252"/>
      <c r="N263" s="252"/>
      <c r="P263" s="290"/>
      <c r="Q263" s="253"/>
    </row>
    <row r="264" spans="1:17" s="192" customFormat="1">
      <c r="A264" s="255"/>
      <c r="B264" s="256"/>
      <c r="C264" s="257"/>
      <c r="D264" s="252"/>
      <c r="E264" s="258"/>
      <c r="F264" s="258"/>
      <c r="G264" s="258"/>
      <c r="H264" s="258"/>
      <c r="I264" s="252"/>
      <c r="J264" s="252"/>
      <c r="K264" s="252"/>
      <c r="L264" s="252"/>
      <c r="M264" s="252"/>
      <c r="N264" s="252"/>
      <c r="P264" s="290"/>
      <c r="Q264" s="253"/>
    </row>
    <row r="265" spans="1:17" ht="14.25" hidden="1">
      <c r="A265" s="259"/>
      <c r="B265" s="263"/>
      <c r="C265" s="264"/>
      <c r="D265" s="248"/>
      <c r="E265" s="262"/>
      <c r="F265" s="262"/>
      <c r="G265" s="248"/>
      <c r="H265" s="262"/>
      <c r="I265" s="248"/>
      <c r="J265" s="248"/>
      <c r="K265" s="248"/>
      <c r="L265" s="248"/>
      <c r="M265" s="248"/>
      <c r="N265" s="248"/>
    </row>
    <row r="266" spans="1:17" ht="14.25" hidden="1">
      <c r="A266" s="259"/>
      <c r="B266" s="263"/>
      <c r="C266" s="264"/>
      <c r="D266" s="248"/>
      <c r="E266" s="262"/>
      <c r="F266" s="262"/>
      <c r="G266" s="262"/>
      <c r="H266" s="262"/>
      <c r="I266" s="248"/>
      <c r="J266" s="248"/>
      <c r="K266" s="248"/>
      <c r="L266" s="248"/>
      <c r="M266" s="248"/>
      <c r="N266" s="248"/>
    </row>
    <row r="267" spans="1:17" s="192" customFormat="1">
      <c r="A267" s="255"/>
      <c r="B267" s="256"/>
      <c r="C267" s="257"/>
      <c r="D267" s="252"/>
      <c r="E267" s="258"/>
      <c r="F267" s="258"/>
      <c r="G267" s="258"/>
      <c r="H267" s="258"/>
      <c r="I267" s="252"/>
      <c r="J267" s="252"/>
      <c r="K267" s="252"/>
      <c r="L267" s="252"/>
      <c r="M267" s="252"/>
      <c r="N267" s="252"/>
      <c r="P267" s="290"/>
      <c r="Q267" s="253"/>
    </row>
    <row r="268" spans="1:17" s="192" customFormat="1">
      <c r="A268" s="255"/>
      <c r="B268" s="256"/>
      <c r="C268" s="257"/>
      <c r="D268" s="252"/>
      <c r="E268" s="258"/>
      <c r="F268" s="258"/>
      <c r="G268" s="258"/>
      <c r="H268" s="258"/>
      <c r="I268" s="252"/>
      <c r="J268" s="252"/>
      <c r="K268" s="252"/>
      <c r="L268" s="252"/>
      <c r="M268" s="252"/>
      <c r="N268" s="252"/>
      <c r="P268" s="290"/>
      <c r="Q268" s="253"/>
    </row>
    <row r="269" spans="1:17" ht="14.25" hidden="1">
      <c r="A269" s="259"/>
      <c r="B269" s="260"/>
      <c r="C269" s="261"/>
      <c r="D269" s="248"/>
      <c r="E269" s="262"/>
      <c r="F269" s="262"/>
      <c r="G269" s="248"/>
      <c r="H269" s="262"/>
      <c r="I269" s="248"/>
      <c r="J269" s="248"/>
      <c r="K269" s="248"/>
      <c r="L269" s="248"/>
      <c r="M269" s="248"/>
      <c r="N269" s="248"/>
    </row>
    <row r="270" spans="1:17" s="192" customFormat="1">
      <c r="A270" s="255"/>
      <c r="B270" s="256"/>
      <c r="C270" s="257"/>
      <c r="D270" s="252"/>
      <c r="E270" s="258"/>
      <c r="F270" s="258"/>
      <c r="G270" s="258"/>
      <c r="H270" s="258"/>
      <c r="I270" s="252"/>
      <c r="J270" s="252"/>
      <c r="K270" s="252"/>
      <c r="L270" s="252"/>
      <c r="M270" s="252"/>
      <c r="N270" s="252"/>
      <c r="P270" s="290"/>
      <c r="Q270" s="253"/>
    </row>
    <row r="271" spans="1:17" s="192" customFormat="1">
      <c r="A271" s="255"/>
      <c r="B271" s="256"/>
      <c r="C271" s="257"/>
      <c r="D271" s="252"/>
      <c r="E271" s="258"/>
      <c r="F271" s="258"/>
      <c r="G271" s="258"/>
      <c r="H271" s="258"/>
      <c r="I271" s="252"/>
      <c r="J271" s="252"/>
      <c r="K271" s="252"/>
      <c r="L271" s="252"/>
      <c r="M271" s="252"/>
      <c r="N271" s="252"/>
      <c r="P271" s="290"/>
      <c r="Q271" s="253"/>
    </row>
    <row r="272" spans="1:17" ht="14.25" hidden="1">
      <c r="A272" s="259"/>
      <c r="B272" s="260"/>
      <c r="C272" s="261"/>
      <c r="D272" s="248"/>
      <c r="E272" s="262"/>
      <c r="F272" s="262"/>
      <c r="G272" s="248"/>
      <c r="H272" s="262"/>
      <c r="I272" s="248"/>
      <c r="J272" s="248"/>
      <c r="K272" s="248"/>
      <c r="L272" s="248"/>
      <c r="M272" s="248"/>
      <c r="N272" s="248"/>
    </row>
    <row r="273" spans="1:17" s="192" customFormat="1">
      <c r="A273" s="255"/>
      <c r="B273" s="256"/>
      <c r="C273" s="257"/>
      <c r="D273" s="252"/>
      <c r="E273" s="258"/>
      <c r="F273" s="258"/>
      <c r="G273" s="258"/>
      <c r="H273" s="258"/>
      <c r="I273" s="252"/>
      <c r="J273" s="252"/>
      <c r="K273" s="252"/>
      <c r="L273" s="252"/>
      <c r="M273" s="252"/>
      <c r="N273" s="252"/>
      <c r="P273" s="290"/>
      <c r="Q273" s="253"/>
    </row>
    <row r="274" spans="1:17" s="192" customFormat="1">
      <c r="A274" s="255"/>
      <c r="B274" s="256"/>
      <c r="C274" s="257"/>
      <c r="D274" s="252"/>
      <c r="E274" s="258"/>
      <c r="F274" s="258"/>
      <c r="G274" s="258"/>
      <c r="H274" s="258"/>
      <c r="I274" s="252"/>
      <c r="J274" s="252"/>
      <c r="K274" s="252"/>
      <c r="L274" s="252"/>
      <c r="M274" s="252"/>
      <c r="N274" s="252"/>
      <c r="P274" s="290"/>
      <c r="Q274" s="253"/>
    </row>
    <row r="275" spans="1:17" ht="14.25" hidden="1">
      <c r="A275" s="259"/>
      <c r="B275" s="263"/>
      <c r="C275" s="261"/>
      <c r="D275" s="248"/>
      <c r="E275" s="262"/>
      <c r="F275" s="262"/>
      <c r="G275" s="248"/>
      <c r="H275" s="262"/>
      <c r="I275" s="248"/>
      <c r="J275" s="248"/>
      <c r="K275" s="248"/>
      <c r="L275" s="248"/>
      <c r="M275" s="248"/>
      <c r="N275" s="248"/>
    </row>
    <row r="276" spans="1:17" ht="14.25" hidden="1">
      <c r="A276" s="259"/>
      <c r="B276" s="263"/>
      <c r="C276" s="261"/>
      <c r="D276" s="248"/>
      <c r="E276" s="262"/>
      <c r="F276" s="262"/>
      <c r="G276" s="262"/>
      <c r="H276" s="262"/>
      <c r="I276" s="248"/>
      <c r="J276" s="248"/>
      <c r="K276" s="248"/>
      <c r="L276" s="248"/>
      <c r="M276" s="248"/>
      <c r="N276" s="248"/>
    </row>
    <row r="277" spans="1:17" ht="14.25" hidden="1">
      <c r="A277" s="259"/>
      <c r="B277" s="263"/>
      <c r="C277" s="261"/>
      <c r="D277" s="248"/>
      <c r="E277" s="262"/>
      <c r="F277" s="262"/>
      <c r="G277" s="248"/>
      <c r="H277" s="262"/>
      <c r="I277" s="248"/>
      <c r="J277" s="248"/>
      <c r="K277" s="248"/>
      <c r="L277" s="248"/>
      <c r="M277" s="248"/>
      <c r="N277" s="248"/>
    </row>
    <row r="278" spans="1:17" ht="14.25" hidden="1">
      <c r="A278" s="259"/>
      <c r="B278" s="263"/>
      <c r="C278" s="261"/>
      <c r="D278" s="248"/>
      <c r="E278" s="262"/>
      <c r="F278" s="262"/>
      <c r="G278" s="262"/>
      <c r="H278" s="262"/>
      <c r="I278" s="248"/>
      <c r="J278" s="248"/>
      <c r="K278" s="248"/>
      <c r="L278" s="248"/>
      <c r="M278" s="248"/>
      <c r="N278" s="248"/>
    </row>
    <row r="279" spans="1:17" s="192" customFormat="1">
      <c r="A279" s="255"/>
      <c r="B279" s="256"/>
      <c r="C279" s="257"/>
      <c r="D279" s="252"/>
      <c r="E279" s="258"/>
      <c r="F279" s="258"/>
      <c r="G279" s="258"/>
      <c r="H279" s="258"/>
      <c r="I279" s="252"/>
      <c r="J279" s="252"/>
      <c r="K279" s="252"/>
      <c r="L279" s="252"/>
      <c r="M279" s="252"/>
      <c r="N279" s="252"/>
      <c r="P279" s="290"/>
      <c r="Q279" s="253"/>
    </row>
    <row r="280" spans="1:17" s="192" customFormat="1">
      <c r="A280" s="255"/>
      <c r="B280" s="256"/>
      <c r="C280" s="257"/>
      <c r="D280" s="252"/>
      <c r="E280" s="258"/>
      <c r="F280" s="258"/>
      <c r="G280" s="258"/>
      <c r="H280" s="258"/>
      <c r="I280" s="252"/>
      <c r="J280" s="252"/>
      <c r="K280" s="252"/>
      <c r="L280" s="252"/>
      <c r="M280" s="252"/>
      <c r="N280" s="252"/>
      <c r="P280" s="290"/>
      <c r="Q280" s="253"/>
    </row>
    <row r="281" spans="1:17" ht="14.25" hidden="1">
      <c r="A281" s="259"/>
      <c r="B281" s="263"/>
      <c r="C281" s="261"/>
      <c r="D281" s="248"/>
      <c r="E281" s="262"/>
      <c r="F281" s="262"/>
      <c r="G281" s="248"/>
      <c r="H281" s="262"/>
      <c r="I281" s="248"/>
      <c r="J281" s="248"/>
      <c r="K281" s="248"/>
      <c r="L281" s="248"/>
      <c r="M281" s="248"/>
      <c r="N281" s="248"/>
    </row>
    <row r="282" spans="1:17" ht="14.25" hidden="1">
      <c r="A282" s="259"/>
      <c r="B282" s="263"/>
      <c r="C282" s="261"/>
      <c r="D282" s="248"/>
      <c r="E282" s="262"/>
      <c r="F282" s="262"/>
      <c r="G282" s="262"/>
      <c r="H282" s="262"/>
      <c r="I282" s="248"/>
      <c r="J282" s="248"/>
      <c r="K282" s="248"/>
      <c r="L282" s="248"/>
      <c r="M282" s="248"/>
      <c r="N282" s="248"/>
    </row>
    <row r="283" spans="1:17" ht="14.25" hidden="1">
      <c r="A283" s="259"/>
      <c r="B283" s="263"/>
      <c r="C283" s="261"/>
      <c r="D283" s="248"/>
      <c r="E283" s="262"/>
      <c r="F283" s="262"/>
      <c r="G283" s="248"/>
      <c r="H283" s="262"/>
      <c r="I283" s="248"/>
      <c r="J283" s="248"/>
      <c r="K283" s="248"/>
      <c r="L283" s="248"/>
      <c r="M283" s="248"/>
      <c r="N283" s="248"/>
    </row>
    <row r="284" spans="1:17" s="192" customFormat="1">
      <c r="A284" s="255"/>
      <c r="B284" s="265"/>
      <c r="C284" s="257"/>
      <c r="D284" s="252"/>
      <c r="E284" s="258"/>
      <c r="F284" s="258"/>
      <c r="G284" s="258"/>
      <c r="H284" s="258"/>
      <c r="I284" s="252"/>
      <c r="J284" s="252"/>
      <c r="K284" s="252"/>
      <c r="L284" s="252"/>
      <c r="M284" s="252"/>
      <c r="N284" s="252"/>
      <c r="P284" s="290"/>
      <c r="Q284" s="253"/>
    </row>
    <row r="285" spans="1:17" s="192" customFormat="1">
      <c r="A285" s="255"/>
      <c r="B285" s="256"/>
      <c r="C285" s="257"/>
      <c r="D285" s="252"/>
      <c r="E285" s="258"/>
      <c r="F285" s="258"/>
      <c r="G285" s="258"/>
      <c r="H285" s="258"/>
      <c r="I285" s="252"/>
      <c r="J285" s="252"/>
      <c r="K285" s="252"/>
      <c r="L285" s="252"/>
      <c r="M285" s="252"/>
      <c r="N285" s="252"/>
      <c r="P285" s="290"/>
      <c r="Q285" s="253"/>
    </row>
    <row r="286" spans="1:17" ht="14.25" hidden="1">
      <c r="A286" s="259"/>
      <c r="B286" s="260"/>
      <c r="C286" s="261"/>
      <c r="D286" s="248"/>
      <c r="E286" s="262"/>
      <c r="F286" s="262"/>
      <c r="G286" s="248"/>
      <c r="H286" s="262"/>
      <c r="I286" s="248"/>
      <c r="J286" s="248"/>
      <c r="K286" s="248"/>
      <c r="L286" s="248"/>
      <c r="M286" s="248"/>
      <c r="N286" s="248"/>
    </row>
    <row r="287" spans="1:17" s="192" customFormat="1">
      <c r="A287" s="255"/>
      <c r="B287" s="256"/>
      <c r="C287" s="257"/>
      <c r="D287" s="252"/>
      <c r="E287" s="258"/>
      <c r="F287" s="258"/>
      <c r="G287" s="258"/>
      <c r="H287" s="258"/>
      <c r="I287" s="252"/>
      <c r="J287" s="252"/>
      <c r="K287" s="252"/>
      <c r="L287" s="252"/>
      <c r="M287" s="252"/>
      <c r="N287" s="252"/>
      <c r="P287" s="290"/>
      <c r="Q287" s="253"/>
    </row>
    <row r="288" spans="1:17" s="192" customFormat="1">
      <c r="A288" s="255"/>
      <c r="B288" s="256"/>
      <c r="C288" s="257"/>
      <c r="D288" s="252"/>
      <c r="E288" s="258"/>
      <c r="F288" s="258"/>
      <c r="G288" s="258"/>
      <c r="H288" s="258"/>
      <c r="I288" s="252"/>
      <c r="J288" s="252"/>
      <c r="K288" s="252"/>
      <c r="L288" s="252"/>
      <c r="M288" s="252"/>
      <c r="N288" s="252"/>
      <c r="P288" s="290"/>
      <c r="Q288" s="253"/>
    </row>
    <row r="289" spans="1:17" ht="14.25" hidden="1">
      <c r="A289" s="259"/>
      <c r="B289" s="260"/>
      <c r="C289" s="261"/>
      <c r="D289" s="248"/>
      <c r="E289" s="262"/>
      <c r="F289" s="262"/>
      <c r="G289" s="248"/>
      <c r="H289" s="262"/>
      <c r="I289" s="248"/>
      <c r="J289" s="248"/>
      <c r="K289" s="248"/>
      <c r="L289" s="248"/>
      <c r="M289" s="248"/>
      <c r="N289" s="248"/>
    </row>
    <row r="290" spans="1:17" s="192" customFormat="1">
      <c r="A290" s="255"/>
      <c r="B290" s="256"/>
      <c r="C290" s="257"/>
      <c r="D290" s="252"/>
      <c r="E290" s="258"/>
      <c r="F290" s="258"/>
      <c r="G290" s="258"/>
      <c r="H290" s="258"/>
      <c r="I290" s="252"/>
      <c r="J290" s="252"/>
      <c r="K290" s="252"/>
      <c r="L290" s="252"/>
      <c r="M290" s="252"/>
      <c r="N290" s="252"/>
      <c r="P290" s="290"/>
      <c r="Q290" s="253"/>
    </row>
    <row r="291" spans="1:17" s="192" customFormat="1">
      <c r="A291" s="255"/>
      <c r="B291" s="256"/>
      <c r="C291" s="257"/>
      <c r="D291" s="252"/>
      <c r="E291" s="258"/>
      <c r="F291" s="258"/>
      <c r="G291" s="258"/>
      <c r="H291" s="258"/>
      <c r="I291" s="252"/>
      <c r="J291" s="252"/>
      <c r="K291" s="252"/>
      <c r="L291" s="252"/>
      <c r="M291" s="252"/>
      <c r="N291" s="252"/>
      <c r="P291" s="290"/>
      <c r="Q291" s="253"/>
    </row>
    <row r="292" spans="1:17" ht="14.25" hidden="1">
      <c r="A292" s="259"/>
      <c r="B292" s="260"/>
      <c r="C292" s="261"/>
      <c r="D292" s="248"/>
      <c r="E292" s="262"/>
      <c r="F292" s="262"/>
      <c r="G292" s="248"/>
      <c r="H292" s="262"/>
      <c r="I292" s="248"/>
      <c r="J292" s="248"/>
      <c r="K292" s="248"/>
      <c r="L292" s="248"/>
      <c r="M292" s="248"/>
      <c r="N292" s="248"/>
    </row>
    <row r="293" spans="1:17" s="192" customFormat="1">
      <c r="A293" s="255"/>
      <c r="B293" s="256"/>
      <c r="C293" s="257"/>
      <c r="D293" s="252"/>
      <c r="E293" s="258"/>
      <c r="F293" s="258"/>
      <c r="G293" s="258"/>
      <c r="H293" s="258"/>
      <c r="I293" s="252"/>
      <c r="J293" s="252"/>
      <c r="K293" s="252"/>
      <c r="L293" s="252"/>
      <c r="M293" s="252"/>
      <c r="N293" s="252"/>
      <c r="P293" s="290"/>
      <c r="Q293" s="253"/>
    </row>
    <row r="294" spans="1:17" s="192" customFormat="1">
      <c r="A294" s="255"/>
      <c r="B294" s="256"/>
      <c r="C294" s="257"/>
      <c r="D294" s="252"/>
      <c r="E294" s="258"/>
      <c r="F294" s="258"/>
      <c r="G294" s="258"/>
      <c r="H294" s="258"/>
      <c r="I294" s="252"/>
      <c r="J294" s="252"/>
      <c r="K294" s="252"/>
      <c r="L294" s="252"/>
      <c r="M294" s="252"/>
      <c r="N294" s="252"/>
      <c r="P294" s="290"/>
      <c r="Q294" s="253"/>
    </row>
    <row r="295" spans="1:17" s="192" customFormat="1">
      <c r="A295" s="255"/>
      <c r="B295" s="256"/>
      <c r="C295" s="257"/>
      <c r="D295" s="252"/>
      <c r="E295" s="258"/>
      <c r="F295" s="258"/>
      <c r="G295" s="258"/>
      <c r="H295" s="258"/>
      <c r="I295" s="252"/>
      <c r="J295" s="252"/>
      <c r="K295" s="252"/>
      <c r="L295" s="252"/>
      <c r="M295" s="252"/>
      <c r="N295" s="252"/>
      <c r="P295" s="290"/>
      <c r="Q295" s="253"/>
    </row>
    <row r="296" spans="1:17" ht="14.25" hidden="1">
      <c r="A296" s="259"/>
      <c r="B296" s="260"/>
      <c r="C296" s="261"/>
      <c r="D296" s="262"/>
      <c r="E296" s="262"/>
      <c r="F296" s="262"/>
      <c r="G296" s="262"/>
      <c r="H296" s="262"/>
      <c r="I296" s="248"/>
      <c r="J296" s="248"/>
      <c r="K296" s="248"/>
      <c r="L296" s="248"/>
      <c r="M296" s="248"/>
      <c r="N296" s="248"/>
    </row>
    <row r="297" spans="1:17" s="192" customFormat="1">
      <c r="A297" s="255"/>
      <c r="B297" s="256"/>
      <c r="C297" s="257"/>
      <c r="D297" s="252"/>
      <c r="E297" s="258"/>
      <c r="F297" s="258"/>
      <c r="G297" s="258"/>
      <c r="H297" s="258"/>
      <c r="I297" s="252"/>
      <c r="J297" s="252"/>
      <c r="K297" s="252"/>
      <c r="L297" s="252"/>
      <c r="M297" s="252"/>
      <c r="N297" s="252"/>
      <c r="P297" s="290"/>
      <c r="Q297" s="253"/>
    </row>
    <row r="298" spans="1:17" s="192" customFormat="1">
      <c r="A298" s="255"/>
      <c r="B298" s="256"/>
      <c r="C298" s="257"/>
      <c r="D298" s="252"/>
      <c r="E298" s="258"/>
      <c r="F298" s="258"/>
      <c r="G298" s="258"/>
      <c r="H298" s="258"/>
      <c r="I298" s="252"/>
      <c r="J298" s="252"/>
      <c r="K298" s="252"/>
      <c r="L298" s="252"/>
      <c r="M298" s="252"/>
      <c r="N298" s="252"/>
      <c r="P298" s="290"/>
      <c r="Q298" s="253"/>
    </row>
    <row r="299" spans="1:17" ht="14.25" hidden="1">
      <c r="A299" s="259"/>
      <c r="B299" s="260"/>
      <c r="C299" s="261"/>
      <c r="D299" s="262"/>
      <c r="E299" s="262"/>
      <c r="F299" s="262"/>
      <c r="G299" s="262"/>
      <c r="H299" s="262"/>
      <c r="I299" s="248"/>
      <c r="J299" s="248"/>
      <c r="K299" s="248"/>
      <c r="L299" s="248"/>
      <c r="M299" s="248"/>
      <c r="N299" s="248"/>
    </row>
    <row r="300" spans="1:17" ht="14.25" hidden="1">
      <c r="A300" s="259"/>
      <c r="B300" s="260"/>
      <c r="C300" s="261"/>
      <c r="D300" s="262"/>
      <c r="E300" s="262"/>
      <c r="F300" s="262"/>
      <c r="G300" s="262"/>
      <c r="H300" s="262"/>
      <c r="I300" s="248"/>
      <c r="J300" s="248"/>
      <c r="K300" s="248"/>
      <c r="L300" s="248"/>
      <c r="M300" s="248"/>
      <c r="N300" s="248"/>
    </row>
    <row r="301" spans="1:17" ht="14.25" hidden="1">
      <c r="A301" s="259"/>
      <c r="B301" s="260"/>
      <c r="C301" s="261"/>
      <c r="D301" s="262"/>
      <c r="E301" s="262"/>
      <c r="F301" s="262"/>
      <c r="G301" s="262"/>
      <c r="H301" s="262"/>
      <c r="I301" s="248"/>
      <c r="J301" s="248"/>
      <c r="K301" s="248"/>
      <c r="L301" s="248"/>
      <c r="M301" s="248"/>
      <c r="N301" s="248"/>
    </row>
    <row r="302" spans="1:17" s="192" customFormat="1">
      <c r="A302" s="255"/>
      <c r="B302" s="256"/>
      <c r="C302" s="257"/>
      <c r="D302" s="252"/>
      <c r="E302" s="258"/>
      <c r="F302" s="258"/>
      <c r="G302" s="258"/>
      <c r="H302" s="258"/>
      <c r="I302" s="252"/>
      <c r="J302" s="252"/>
      <c r="K302" s="252"/>
      <c r="L302" s="252"/>
      <c r="M302" s="252"/>
      <c r="N302" s="252"/>
      <c r="P302" s="290"/>
      <c r="Q302" s="253"/>
    </row>
    <row r="303" spans="1:17" s="192" customFormat="1">
      <c r="A303" s="255"/>
      <c r="B303" s="256"/>
      <c r="C303" s="257"/>
      <c r="D303" s="252"/>
      <c r="E303" s="258"/>
      <c r="F303" s="258"/>
      <c r="G303" s="258"/>
      <c r="H303" s="258"/>
      <c r="I303" s="252"/>
      <c r="J303" s="252"/>
      <c r="K303" s="252"/>
      <c r="L303" s="252"/>
      <c r="M303" s="252"/>
      <c r="N303" s="252"/>
      <c r="P303" s="290"/>
      <c r="Q303" s="253"/>
    </row>
    <row r="304" spans="1:17" ht="14.25" hidden="1">
      <c r="A304" s="259"/>
      <c r="B304" s="260"/>
      <c r="C304" s="261"/>
      <c r="D304" s="248"/>
      <c r="E304" s="262"/>
      <c r="F304" s="262"/>
      <c r="G304" s="262"/>
      <c r="H304" s="262"/>
      <c r="I304" s="248"/>
      <c r="J304" s="248"/>
      <c r="K304" s="248"/>
      <c r="L304" s="248"/>
      <c r="M304" s="248"/>
      <c r="N304" s="248"/>
    </row>
    <row r="305" spans="1:17" ht="14.25" hidden="1">
      <c r="A305" s="259"/>
      <c r="B305" s="260"/>
      <c r="C305" s="261"/>
      <c r="D305" s="248"/>
      <c r="E305" s="262"/>
      <c r="F305" s="262"/>
      <c r="G305" s="262"/>
      <c r="H305" s="262"/>
      <c r="I305" s="248"/>
      <c r="J305" s="248"/>
      <c r="K305" s="248"/>
      <c r="L305" s="248"/>
      <c r="M305" s="248"/>
      <c r="N305" s="248"/>
    </row>
    <row r="306" spans="1:17" s="192" customFormat="1">
      <c r="A306" s="255"/>
      <c r="B306" s="256"/>
      <c r="C306" s="257"/>
      <c r="D306" s="252"/>
      <c r="E306" s="258"/>
      <c r="F306" s="258"/>
      <c r="G306" s="258"/>
      <c r="H306" s="258"/>
      <c r="I306" s="252"/>
      <c r="J306" s="252"/>
      <c r="K306" s="252"/>
      <c r="L306" s="252"/>
      <c r="M306" s="252"/>
      <c r="N306" s="252"/>
      <c r="P306" s="290"/>
      <c r="Q306" s="253"/>
    </row>
    <row r="307" spans="1:17" s="192" customFormat="1">
      <c r="A307" s="255"/>
      <c r="B307" s="256"/>
      <c r="C307" s="257"/>
      <c r="D307" s="252"/>
      <c r="E307" s="258"/>
      <c r="F307" s="258"/>
      <c r="G307" s="258"/>
      <c r="H307" s="258"/>
      <c r="I307" s="252"/>
      <c r="J307" s="252"/>
      <c r="K307" s="252"/>
      <c r="L307" s="252"/>
      <c r="M307" s="252"/>
      <c r="N307" s="252"/>
      <c r="P307" s="290"/>
      <c r="Q307" s="253"/>
    </row>
    <row r="308" spans="1:17" ht="14.25" hidden="1">
      <c r="A308" s="259"/>
      <c r="B308" s="260"/>
      <c r="C308" s="261"/>
      <c r="D308" s="248"/>
      <c r="E308" s="262"/>
      <c r="F308" s="262"/>
      <c r="G308" s="248"/>
      <c r="H308" s="262"/>
      <c r="I308" s="248"/>
      <c r="J308" s="248"/>
      <c r="K308" s="248"/>
      <c r="L308" s="248"/>
      <c r="M308" s="248"/>
      <c r="N308" s="248"/>
    </row>
    <row r="309" spans="1:17" s="192" customFormat="1" hidden="1">
      <c r="A309" s="255"/>
      <c r="B309" s="256"/>
      <c r="C309" s="257"/>
      <c r="D309" s="252"/>
      <c r="E309" s="258"/>
      <c r="F309" s="258"/>
      <c r="G309" s="258"/>
      <c r="H309" s="258"/>
      <c r="I309" s="252"/>
      <c r="J309" s="252"/>
      <c r="K309" s="252"/>
      <c r="L309" s="252"/>
      <c r="M309" s="252"/>
      <c r="N309" s="252"/>
      <c r="P309" s="290"/>
      <c r="Q309" s="253"/>
    </row>
    <row r="310" spans="1:17" s="192" customFormat="1">
      <c r="A310" s="255"/>
      <c r="B310" s="256"/>
      <c r="C310" s="257"/>
      <c r="D310" s="252"/>
      <c r="E310" s="258"/>
      <c r="F310" s="258"/>
      <c r="G310" s="258"/>
      <c r="H310" s="258"/>
      <c r="I310" s="252"/>
      <c r="J310" s="252"/>
      <c r="K310" s="252"/>
      <c r="L310" s="252"/>
      <c r="M310" s="252"/>
      <c r="N310" s="252"/>
      <c r="P310" s="290"/>
      <c r="Q310" s="253"/>
    </row>
    <row r="311" spans="1:17" s="192" customFormat="1">
      <c r="A311" s="255"/>
      <c r="B311" s="256"/>
      <c r="C311" s="257"/>
      <c r="D311" s="252"/>
      <c r="E311" s="258"/>
      <c r="F311" s="258"/>
      <c r="G311" s="258"/>
      <c r="H311" s="258"/>
      <c r="I311" s="252"/>
      <c r="J311" s="252"/>
      <c r="K311" s="252"/>
      <c r="L311" s="252"/>
      <c r="M311" s="252"/>
      <c r="N311" s="252"/>
      <c r="P311" s="290"/>
      <c r="Q311" s="253"/>
    </row>
    <row r="312" spans="1:17" ht="14.25" hidden="1">
      <c r="A312" s="259"/>
      <c r="B312" s="260"/>
      <c r="C312" s="261"/>
      <c r="D312" s="262"/>
      <c r="E312" s="262"/>
      <c r="F312" s="262"/>
      <c r="G312" s="262"/>
      <c r="H312" s="262"/>
      <c r="I312" s="248"/>
      <c r="J312" s="248"/>
      <c r="K312" s="248"/>
      <c r="L312" s="248"/>
      <c r="M312" s="248"/>
      <c r="N312" s="248"/>
    </row>
    <row r="313" spans="1:17" ht="14.25" hidden="1">
      <c r="A313" s="259"/>
      <c r="B313" s="260"/>
      <c r="C313" s="261"/>
      <c r="D313" s="262"/>
      <c r="E313" s="262"/>
      <c r="F313" s="262"/>
      <c r="G313" s="262"/>
      <c r="H313" s="262"/>
      <c r="I313" s="248"/>
      <c r="J313" s="248"/>
      <c r="K313" s="248"/>
      <c r="L313" s="248"/>
      <c r="M313" s="248"/>
      <c r="N313" s="248"/>
    </row>
    <row r="314" spans="1:17" ht="14.25" hidden="1">
      <c r="A314" s="259"/>
      <c r="B314" s="260"/>
      <c r="C314" s="261"/>
      <c r="D314" s="262"/>
      <c r="E314" s="262"/>
      <c r="F314" s="262"/>
      <c r="G314" s="262"/>
      <c r="H314" s="262"/>
      <c r="I314" s="248"/>
      <c r="J314" s="248"/>
      <c r="K314" s="248"/>
      <c r="L314" s="248"/>
      <c r="M314" s="248"/>
      <c r="N314" s="248"/>
    </row>
    <row r="315" spans="1:17" s="192" customFormat="1">
      <c r="A315" s="255"/>
      <c r="B315" s="256"/>
      <c r="C315" s="257"/>
      <c r="D315" s="252"/>
      <c r="E315" s="258"/>
      <c r="F315" s="258"/>
      <c r="G315" s="258"/>
      <c r="H315" s="258"/>
      <c r="I315" s="252"/>
      <c r="J315" s="252"/>
      <c r="K315" s="252"/>
      <c r="L315" s="252"/>
      <c r="M315" s="252"/>
      <c r="N315" s="252"/>
      <c r="P315" s="290"/>
      <c r="Q315" s="253"/>
    </row>
    <row r="316" spans="1:17" s="192" customFormat="1">
      <c r="A316" s="255"/>
      <c r="B316" s="256"/>
      <c r="C316" s="257"/>
      <c r="D316" s="252"/>
      <c r="E316" s="258"/>
      <c r="F316" s="258"/>
      <c r="G316" s="258"/>
      <c r="H316" s="258"/>
      <c r="I316" s="252"/>
      <c r="J316" s="252"/>
      <c r="K316" s="252"/>
      <c r="L316" s="252"/>
      <c r="M316" s="252"/>
      <c r="N316" s="252"/>
      <c r="P316" s="290"/>
      <c r="Q316" s="253"/>
    </row>
    <row r="317" spans="1:17" ht="14.25" hidden="1">
      <c r="A317" s="259"/>
      <c r="B317" s="260"/>
      <c r="C317" s="261"/>
      <c r="D317" s="248"/>
      <c r="E317" s="262"/>
      <c r="F317" s="262"/>
      <c r="G317" s="262"/>
      <c r="H317" s="262"/>
      <c r="I317" s="248"/>
      <c r="J317" s="248"/>
      <c r="K317" s="248"/>
      <c r="L317" s="248"/>
      <c r="M317" s="248"/>
      <c r="N317" s="248"/>
    </row>
    <row r="318" spans="1:17" ht="14.25" hidden="1">
      <c r="A318" s="259"/>
      <c r="B318" s="260"/>
      <c r="C318" s="261"/>
      <c r="D318" s="248"/>
      <c r="E318" s="262"/>
      <c r="F318" s="262"/>
      <c r="G318" s="262"/>
      <c r="H318" s="262"/>
      <c r="I318" s="248"/>
      <c r="J318" s="248"/>
      <c r="K318" s="248"/>
      <c r="L318" s="248"/>
      <c r="M318" s="248"/>
      <c r="N318" s="248"/>
    </row>
    <row r="319" spans="1:17" s="192" customFormat="1">
      <c r="A319" s="255"/>
      <c r="B319" s="256"/>
      <c r="C319" s="257"/>
      <c r="D319" s="252"/>
      <c r="E319" s="258"/>
      <c r="F319" s="258"/>
      <c r="G319" s="258"/>
      <c r="H319" s="258"/>
      <c r="I319" s="252"/>
      <c r="J319" s="252"/>
      <c r="K319" s="252"/>
      <c r="L319" s="252"/>
      <c r="M319" s="252"/>
      <c r="N319" s="252"/>
      <c r="P319" s="290"/>
      <c r="Q319" s="253"/>
    </row>
    <row r="320" spans="1:17" s="192" customFormat="1">
      <c r="A320" s="255"/>
      <c r="B320" s="266"/>
      <c r="C320" s="257"/>
      <c r="D320" s="252"/>
      <c r="E320" s="258"/>
      <c r="F320" s="258"/>
      <c r="G320" s="258"/>
      <c r="H320" s="258"/>
      <c r="I320" s="252"/>
      <c r="J320" s="252"/>
      <c r="K320" s="252"/>
      <c r="L320" s="252"/>
      <c r="M320" s="252"/>
      <c r="N320" s="252"/>
      <c r="P320" s="290"/>
      <c r="Q320" s="253"/>
    </row>
    <row r="321" spans="1:17" ht="14.25" hidden="1">
      <c r="A321" s="259"/>
      <c r="B321" s="267"/>
      <c r="C321" s="261"/>
      <c r="D321" s="248"/>
      <c r="E321" s="262"/>
      <c r="F321" s="262"/>
      <c r="G321" s="262"/>
      <c r="H321" s="262"/>
      <c r="I321" s="248"/>
      <c r="J321" s="248"/>
      <c r="K321" s="248"/>
      <c r="L321" s="248"/>
      <c r="M321" s="248"/>
      <c r="N321" s="248"/>
    </row>
    <row r="322" spans="1:17" ht="14.25" hidden="1">
      <c r="A322" s="259"/>
      <c r="B322" s="267"/>
      <c r="C322" s="261"/>
      <c r="D322" s="248"/>
      <c r="E322" s="262"/>
      <c r="F322" s="262"/>
      <c r="G322" s="262"/>
      <c r="H322" s="262"/>
      <c r="I322" s="248"/>
      <c r="J322" s="248"/>
      <c r="K322" s="248"/>
      <c r="L322" s="248"/>
      <c r="M322" s="248"/>
      <c r="N322" s="248"/>
    </row>
    <row r="323" spans="1:17" s="192" customFormat="1">
      <c r="A323" s="255"/>
      <c r="B323" s="268"/>
      <c r="C323" s="257"/>
      <c r="D323" s="252"/>
      <c r="E323" s="258"/>
      <c r="F323" s="258"/>
      <c r="G323" s="258"/>
      <c r="H323" s="258"/>
      <c r="I323" s="252"/>
      <c r="J323" s="252"/>
      <c r="K323" s="252"/>
      <c r="L323" s="252"/>
      <c r="M323" s="252"/>
      <c r="N323" s="252"/>
      <c r="P323" s="290"/>
      <c r="Q323" s="253"/>
    </row>
    <row r="324" spans="1:17" s="192" customFormat="1">
      <c r="A324" s="269"/>
      <c r="B324" s="266"/>
      <c r="C324" s="257"/>
      <c r="D324" s="270"/>
      <c r="E324" s="258"/>
      <c r="F324" s="258"/>
      <c r="G324" s="258"/>
      <c r="H324" s="258"/>
      <c r="I324" s="252"/>
      <c r="J324" s="252"/>
      <c r="K324" s="252"/>
      <c r="L324" s="252"/>
      <c r="M324" s="252"/>
      <c r="N324" s="252"/>
      <c r="P324" s="290"/>
      <c r="Q324" s="253"/>
    </row>
    <row r="325" spans="1:17" s="192" customFormat="1">
      <c r="A325" s="269"/>
      <c r="B325" s="266"/>
      <c r="C325" s="257"/>
      <c r="D325" s="270"/>
      <c r="E325" s="258"/>
      <c r="F325" s="258"/>
      <c r="G325" s="258"/>
      <c r="H325" s="258"/>
      <c r="I325" s="252"/>
      <c r="J325" s="252"/>
      <c r="K325" s="252"/>
      <c r="L325" s="252"/>
      <c r="M325" s="252"/>
      <c r="N325" s="252"/>
      <c r="P325" s="290"/>
      <c r="Q325" s="253"/>
    </row>
    <row r="326" spans="1:17" ht="14.25" hidden="1">
      <c r="A326" s="271"/>
      <c r="B326" s="267"/>
      <c r="C326" s="261"/>
      <c r="D326" s="272"/>
      <c r="E326" s="262"/>
      <c r="F326" s="262"/>
      <c r="G326" s="262"/>
      <c r="H326" s="248"/>
      <c r="I326" s="248"/>
      <c r="J326" s="248"/>
      <c r="K326" s="248"/>
      <c r="L326" s="248"/>
      <c r="M326" s="248"/>
      <c r="N326" s="248"/>
    </row>
    <row r="327" spans="1:17" ht="14.25" hidden="1">
      <c r="A327" s="271"/>
      <c r="B327" s="267"/>
      <c r="C327" s="261"/>
      <c r="D327" s="272"/>
      <c r="E327" s="262"/>
      <c r="F327" s="262"/>
      <c r="G327" s="262"/>
      <c r="H327" s="248"/>
      <c r="I327" s="248"/>
      <c r="J327" s="248"/>
      <c r="K327" s="248"/>
      <c r="L327" s="248"/>
      <c r="M327" s="248"/>
      <c r="N327" s="248"/>
    </row>
    <row r="328" spans="1:17" ht="14.25" hidden="1">
      <c r="A328" s="271"/>
      <c r="B328" s="267"/>
      <c r="C328" s="261"/>
      <c r="D328" s="272"/>
      <c r="E328" s="262"/>
      <c r="F328" s="262"/>
      <c r="G328" s="262"/>
      <c r="H328" s="248"/>
      <c r="I328" s="248"/>
      <c r="J328" s="248"/>
      <c r="K328" s="248"/>
      <c r="L328" s="248"/>
      <c r="M328" s="248"/>
      <c r="N328" s="248"/>
    </row>
    <row r="329" spans="1:17" ht="14.25" hidden="1">
      <c r="A329" s="271"/>
      <c r="B329" s="267"/>
      <c r="C329" s="261"/>
      <c r="D329" s="272"/>
      <c r="E329" s="262"/>
      <c r="F329" s="262"/>
      <c r="G329" s="262"/>
      <c r="H329" s="248"/>
      <c r="I329" s="248"/>
      <c r="J329" s="248"/>
      <c r="K329" s="248"/>
      <c r="L329" s="248"/>
      <c r="M329" s="248"/>
      <c r="N329" s="248"/>
    </row>
    <row r="330" spans="1:17" s="192" customFormat="1">
      <c r="A330" s="273"/>
      <c r="B330" s="268"/>
      <c r="C330" s="257"/>
      <c r="D330" s="270"/>
      <c r="E330" s="258"/>
      <c r="F330" s="258"/>
      <c r="G330" s="258"/>
      <c r="H330" s="252"/>
      <c r="I330" s="252"/>
      <c r="J330" s="252"/>
      <c r="K330" s="252"/>
      <c r="L330" s="252"/>
      <c r="M330" s="252"/>
      <c r="N330" s="252"/>
      <c r="P330" s="290"/>
      <c r="Q330" s="253"/>
    </row>
    <row r="331" spans="1:17" s="192" customFormat="1">
      <c r="A331" s="269"/>
      <c r="B331" s="266"/>
      <c r="C331" s="257"/>
      <c r="D331" s="270"/>
      <c r="E331" s="258"/>
      <c r="F331" s="258"/>
      <c r="G331" s="258"/>
      <c r="H331" s="252"/>
      <c r="I331" s="252"/>
      <c r="J331" s="252"/>
      <c r="K331" s="252"/>
      <c r="L331" s="252"/>
      <c r="M331" s="252"/>
      <c r="N331" s="252"/>
      <c r="P331" s="290"/>
      <c r="Q331" s="253"/>
    </row>
    <row r="332" spans="1:17" s="192" customFormat="1">
      <c r="A332" s="269"/>
      <c r="B332" s="266"/>
      <c r="C332" s="257"/>
      <c r="D332" s="270"/>
      <c r="E332" s="258"/>
      <c r="F332" s="258"/>
      <c r="G332" s="258"/>
      <c r="H332" s="252"/>
      <c r="I332" s="252"/>
      <c r="J332" s="252"/>
      <c r="K332" s="252"/>
      <c r="L332" s="252"/>
      <c r="M332" s="252"/>
      <c r="N332" s="252"/>
      <c r="P332" s="290"/>
      <c r="Q332" s="253"/>
    </row>
    <row r="333" spans="1:17" ht="14.25" hidden="1">
      <c r="A333" s="271"/>
      <c r="B333" s="267"/>
      <c r="C333" s="261"/>
      <c r="D333" s="272"/>
      <c r="E333" s="262"/>
      <c r="F333" s="262"/>
      <c r="G333" s="262"/>
      <c r="H333" s="248"/>
      <c r="I333" s="248"/>
      <c r="J333" s="248"/>
      <c r="K333" s="248"/>
      <c r="L333" s="248"/>
      <c r="M333" s="248"/>
      <c r="N333" s="248"/>
    </row>
    <row r="334" spans="1:17" ht="14.25" hidden="1">
      <c r="A334" s="271"/>
      <c r="B334" s="267"/>
      <c r="C334" s="261"/>
      <c r="D334" s="272"/>
      <c r="E334" s="262"/>
      <c r="F334" s="262"/>
      <c r="G334" s="262"/>
      <c r="H334" s="248"/>
      <c r="I334" s="248"/>
      <c r="J334" s="248"/>
      <c r="K334" s="248"/>
      <c r="L334" s="248"/>
      <c r="M334" s="248"/>
      <c r="N334" s="248"/>
    </row>
    <row r="335" spans="1:17" ht="14.25" hidden="1">
      <c r="A335" s="271"/>
      <c r="B335" s="267"/>
      <c r="C335" s="261"/>
      <c r="D335" s="272"/>
      <c r="E335" s="262"/>
      <c r="F335" s="262"/>
      <c r="G335" s="262"/>
      <c r="H335" s="248"/>
      <c r="I335" s="248"/>
      <c r="J335" s="248"/>
      <c r="K335" s="248"/>
      <c r="L335" s="248"/>
      <c r="M335" s="248"/>
      <c r="N335" s="248"/>
    </row>
    <row r="336" spans="1:17" ht="14.25" hidden="1">
      <c r="A336" s="271"/>
      <c r="B336" s="267"/>
      <c r="C336" s="261"/>
      <c r="D336" s="272"/>
      <c r="E336" s="262"/>
      <c r="F336" s="262"/>
      <c r="G336" s="262"/>
      <c r="H336" s="248"/>
      <c r="I336" s="248"/>
      <c r="J336" s="248"/>
      <c r="K336" s="248"/>
      <c r="L336" s="248"/>
      <c r="M336" s="248"/>
      <c r="N336" s="248"/>
    </row>
    <row r="337" spans="1:17" s="192" customFormat="1">
      <c r="A337" s="273"/>
      <c r="B337" s="268"/>
      <c r="C337" s="257"/>
      <c r="D337" s="270"/>
      <c r="E337" s="258"/>
      <c r="F337" s="258"/>
      <c r="G337" s="258"/>
      <c r="H337" s="252"/>
      <c r="I337" s="252"/>
      <c r="J337" s="252"/>
      <c r="K337" s="252"/>
      <c r="L337" s="252"/>
      <c r="M337" s="252"/>
      <c r="N337" s="252"/>
      <c r="P337" s="290"/>
      <c r="Q337" s="253"/>
    </row>
    <row r="338" spans="1:17" s="192" customFormat="1">
      <c r="A338" s="269"/>
      <c r="B338" s="266"/>
      <c r="C338" s="257"/>
      <c r="D338" s="270"/>
      <c r="E338" s="258"/>
      <c r="F338" s="258"/>
      <c r="G338" s="258"/>
      <c r="H338" s="252"/>
      <c r="I338" s="252"/>
      <c r="J338" s="252"/>
      <c r="K338" s="252"/>
      <c r="L338" s="252"/>
      <c r="M338" s="252"/>
      <c r="N338" s="252"/>
      <c r="P338" s="290"/>
      <c r="Q338" s="253"/>
    </row>
    <row r="339" spans="1:17" ht="14.25" hidden="1">
      <c r="A339" s="271"/>
      <c r="B339" s="267"/>
      <c r="C339" s="261"/>
      <c r="D339" s="272"/>
      <c r="E339" s="262"/>
      <c r="F339" s="262"/>
      <c r="G339" s="262"/>
      <c r="H339" s="248"/>
      <c r="I339" s="248"/>
      <c r="J339" s="248"/>
      <c r="K339" s="248"/>
      <c r="L339" s="248"/>
      <c r="M339" s="248"/>
      <c r="N339" s="248"/>
    </row>
    <row r="340" spans="1:17" ht="14.25" hidden="1">
      <c r="A340" s="271"/>
      <c r="B340" s="267"/>
      <c r="C340" s="261"/>
      <c r="D340" s="272"/>
      <c r="E340" s="262"/>
      <c r="F340" s="262"/>
      <c r="G340" s="262"/>
      <c r="H340" s="248"/>
      <c r="I340" s="248"/>
      <c r="J340" s="248"/>
      <c r="K340" s="248"/>
      <c r="L340" s="248"/>
      <c r="M340" s="248"/>
      <c r="N340" s="248"/>
    </row>
    <row r="341" spans="1:17" ht="14.25" hidden="1">
      <c r="A341" s="271"/>
      <c r="B341" s="267"/>
      <c r="C341" s="261"/>
      <c r="D341" s="272"/>
      <c r="E341" s="262"/>
      <c r="F341" s="262"/>
      <c r="G341" s="262"/>
      <c r="H341" s="248"/>
      <c r="I341" s="248"/>
      <c r="J341" s="248"/>
      <c r="K341" s="248"/>
      <c r="L341" s="248"/>
      <c r="M341" s="248"/>
      <c r="N341" s="248"/>
    </row>
    <row r="342" spans="1:17" ht="14.25" hidden="1">
      <c r="A342" s="271"/>
      <c r="B342" s="267"/>
      <c r="C342" s="261"/>
      <c r="D342" s="272"/>
      <c r="E342" s="262"/>
      <c r="F342" s="262"/>
      <c r="G342" s="262"/>
      <c r="H342" s="248"/>
      <c r="I342" s="248"/>
      <c r="J342" s="248"/>
      <c r="K342" s="248"/>
      <c r="L342" s="248"/>
      <c r="M342" s="248"/>
      <c r="N342" s="248"/>
    </row>
    <row r="343" spans="1:17" s="192" customFormat="1">
      <c r="A343" s="273"/>
      <c r="B343" s="268"/>
      <c r="C343" s="257"/>
      <c r="D343" s="270"/>
      <c r="E343" s="258"/>
      <c r="F343" s="258"/>
      <c r="G343" s="258"/>
      <c r="H343" s="252"/>
      <c r="I343" s="252"/>
      <c r="J343" s="252"/>
      <c r="K343" s="252"/>
      <c r="L343" s="252"/>
      <c r="M343" s="252"/>
      <c r="N343" s="252"/>
      <c r="P343" s="290"/>
      <c r="Q343" s="253"/>
    </row>
    <row r="344" spans="1:17" s="192" customFormat="1">
      <c r="A344" s="269"/>
      <c r="B344" s="266"/>
      <c r="C344" s="257"/>
      <c r="D344" s="270"/>
      <c r="E344" s="258"/>
      <c r="F344" s="258"/>
      <c r="G344" s="258"/>
      <c r="H344" s="252"/>
      <c r="I344" s="252"/>
      <c r="J344" s="252"/>
      <c r="K344" s="252"/>
      <c r="L344" s="252"/>
      <c r="M344" s="252"/>
      <c r="N344" s="252"/>
      <c r="P344" s="290"/>
      <c r="Q344" s="253"/>
    </row>
    <row r="345" spans="1:17" ht="14.25" hidden="1">
      <c r="A345" s="271"/>
      <c r="B345" s="267"/>
      <c r="C345" s="261"/>
      <c r="D345" s="272"/>
      <c r="E345" s="262"/>
      <c r="F345" s="262"/>
      <c r="G345" s="262"/>
      <c r="H345" s="248"/>
      <c r="I345" s="248"/>
      <c r="J345" s="248"/>
      <c r="K345" s="248"/>
      <c r="L345" s="248"/>
      <c r="M345" s="248"/>
      <c r="N345" s="248"/>
    </row>
    <row r="346" spans="1:17" ht="14.25" hidden="1">
      <c r="A346" s="271"/>
      <c r="B346" s="267"/>
      <c r="C346" s="261"/>
      <c r="D346" s="272"/>
      <c r="E346" s="262"/>
      <c r="F346" s="262"/>
      <c r="G346" s="262"/>
      <c r="H346" s="248"/>
      <c r="I346" s="248"/>
      <c r="J346" s="248"/>
      <c r="K346" s="248"/>
      <c r="L346" s="248"/>
      <c r="M346" s="248"/>
      <c r="N346" s="248"/>
    </row>
    <row r="347" spans="1:17" ht="14.25" hidden="1">
      <c r="A347" s="271"/>
      <c r="B347" s="267"/>
      <c r="C347" s="261"/>
      <c r="D347" s="272"/>
      <c r="E347" s="262"/>
      <c r="F347" s="262"/>
      <c r="G347" s="262"/>
      <c r="H347" s="248"/>
      <c r="I347" s="248"/>
      <c r="J347" s="248"/>
      <c r="K347" s="248"/>
      <c r="L347" s="248"/>
      <c r="M347" s="248"/>
      <c r="N347" s="248"/>
    </row>
    <row r="348" spans="1:17" ht="14.25" hidden="1">
      <c r="A348" s="271"/>
      <c r="B348" s="267"/>
      <c r="C348" s="261"/>
      <c r="D348" s="272"/>
      <c r="E348" s="262"/>
      <c r="F348" s="262"/>
      <c r="G348" s="262"/>
      <c r="H348" s="248"/>
      <c r="I348" s="248"/>
      <c r="J348" s="248"/>
      <c r="K348" s="248"/>
      <c r="L348" s="248"/>
      <c r="M348" s="248"/>
      <c r="N348" s="248"/>
    </row>
    <row r="349" spans="1:17" s="192" customFormat="1">
      <c r="A349" s="273"/>
      <c r="B349" s="268"/>
      <c r="C349" s="257"/>
      <c r="D349" s="270"/>
      <c r="E349" s="258"/>
      <c r="F349" s="258"/>
      <c r="G349" s="258"/>
      <c r="H349" s="252"/>
      <c r="I349" s="252"/>
      <c r="J349" s="252"/>
      <c r="K349" s="252"/>
      <c r="L349" s="252"/>
      <c r="M349" s="252"/>
      <c r="N349" s="252"/>
      <c r="P349" s="290"/>
      <c r="Q349" s="253"/>
    </row>
    <row r="350" spans="1:17" s="192" customFormat="1">
      <c r="A350" s="269"/>
      <c r="B350" s="266"/>
      <c r="C350" s="257"/>
      <c r="D350" s="270"/>
      <c r="E350" s="258"/>
      <c r="F350" s="258"/>
      <c r="G350" s="258"/>
      <c r="H350" s="252"/>
      <c r="I350" s="252"/>
      <c r="J350" s="252"/>
      <c r="K350" s="252"/>
      <c r="L350" s="252"/>
      <c r="M350" s="252"/>
      <c r="N350" s="252"/>
      <c r="P350" s="290"/>
      <c r="Q350" s="253"/>
    </row>
    <row r="351" spans="1:17" s="192" customFormat="1">
      <c r="A351" s="269"/>
      <c r="B351" s="266"/>
      <c r="C351" s="257"/>
      <c r="D351" s="270"/>
      <c r="E351" s="258"/>
      <c r="F351" s="258"/>
      <c r="G351" s="258"/>
      <c r="H351" s="252"/>
      <c r="I351" s="252"/>
      <c r="J351" s="252"/>
      <c r="K351" s="252"/>
      <c r="L351" s="252"/>
      <c r="M351" s="252"/>
      <c r="N351" s="252"/>
      <c r="P351" s="290"/>
      <c r="Q351" s="253"/>
    </row>
    <row r="352" spans="1:17" s="192" customFormat="1">
      <c r="A352" s="269"/>
      <c r="B352" s="266"/>
      <c r="C352" s="257"/>
      <c r="D352" s="270"/>
      <c r="E352" s="258"/>
      <c r="F352" s="258"/>
      <c r="G352" s="258"/>
      <c r="H352" s="252"/>
      <c r="I352" s="252"/>
      <c r="J352" s="252"/>
      <c r="K352" s="252"/>
      <c r="L352" s="252"/>
      <c r="M352" s="252"/>
      <c r="N352" s="252"/>
      <c r="P352" s="290"/>
      <c r="Q352" s="253"/>
    </row>
    <row r="353" spans="1:17" s="192" customFormat="1">
      <c r="A353" s="269"/>
      <c r="B353" s="266"/>
      <c r="C353" s="257"/>
      <c r="D353" s="270"/>
      <c r="E353" s="258"/>
      <c r="F353" s="258"/>
      <c r="G353" s="258"/>
      <c r="H353" s="252"/>
      <c r="I353" s="252"/>
      <c r="J353" s="252"/>
      <c r="K353" s="252"/>
      <c r="L353" s="252"/>
      <c r="M353" s="252"/>
      <c r="N353" s="252"/>
      <c r="P353" s="290"/>
      <c r="Q353" s="253"/>
    </row>
    <row r="354" spans="1:17">
      <c r="A354" s="255"/>
      <c r="B354" s="274"/>
      <c r="C354" s="257"/>
      <c r="D354" s="252"/>
      <c r="E354" s="258"/>
      <c r="F354" s="258"/>
      <c r="G354" s="258"/>
      <c r="H354" s="258"/>
      <c r="I354" s="252"/>
      <c r="J354" s="252"/>
      <c r="K354" s="252"/>
      <c r="L354" s="252"/>
      <c r="M354" s="252"/>
      <c r="N354" s="252"/>
    </row>
  </sheetData>
  <mergeCells count="13">
    <mergeCell ref="O9:O10"/>
    <mergeCell ref="P9:P10"/>
    <mergeCell ref="Q9:Q10"/>
    <mergeCell ref="A1:N1"/>
    <mergeCell ref="A9:A10"/>
    <mergeCell ref="B9:B10"/>
    <mergeCell ref="C9:C10"/>
    <mergeCell ref="E9:G9"/>
    <mergeCell ref="I9:M9"/>
    <mergeCell ref="N9:N10"/>
    <mergeCell ref="B3:N3"/>
    <mergeCell ref="H9:H10"/>
    <mergeCell ref="D9:D10"/>
  </mergeCells>
  <phoneticPr fontId="3" type="noConversion"/>
  <printOptions horizontalCentered="1"/>
  <pageMargins left="0.39370078740157483" right="0.39370078740157483" top="0.39370078740157483" bottom="0.78740157480314965" header="0.19685039370078741" footer="0.39370078740157483"/>
  <pageSetup paperSize="9" scale="54" fitToHeight="0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040" r:id="rId4" name="CommandButton1">
          <controlPr defaultSize="0" autoLine="0" r:id="rId5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247650</xdr:colOff>
                <xdr:row>8</xdr:row>
                <xdr:rowOff>247650</xdr:rowOff>
              </to>
            </anchor>
          </controlPr>
        </control>
      </mc:Choice>
      <mc:Fallback>
        <control shapeId="104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354"/>
  <sheetViews>
    <sheetView zoomScaleNormal="100" zoomScaleSheetLayoutView="100" workbookViewId="0">
      <selection activeCell="O9" sqref="O9:O10"/>
    </sheetView>
  </sheetViews>
  <sheetFormatPr defaultColWidth="11.42578125" defaultRowHeight="12.75"/>
  <cols>
    <col min="1" max="1" width="10.7109375" style="19" customWidth="1"/>
    <col min="2" max="2" width="64.42578125" style="25" customWidth="1"/>
    <col min="3" max="3" width="5.42578125" style="64" bestFit="1" customWidth="1"/>
    <col min="4" max="4" width="5" style="136" hidden="1" customWidth="1"/>
    <col min="5" max="5" width="5.5703125" style="65" hidden="1" customWidth="1"/>
    <col min="6" max="6" width="6.5703125" style="65" hidden="1" customWidth="1"/>
    <col min="7" max="7" width="5.5703125" style="65" hidden="1" customWidth="1"/>
    <col min="8" max="8" width="7.85546875" style="26" hidden="1" customWidth="1"/>
    <col min="9" max="10" width="6.5703125" style="26" hidden="1" customWidth="1"/>
    <col min="11" max="12" width="6.5703125" style="65" hidden="1" customWidth="1"/>
    <col min="13" max="13" width="6.5703125" style="19" hidden="1" customWidth="1"/>
    <col min="14" max="14" width="7.85546875" style="66" bestFit="1" customWidth="1"/>
    <col min="15" max="15" width="7.7109375" style="19" customWidth="1"/>
    <col min="16" max="16" width="3.140625" style="19" customWidth="1"/>
    <col min="17" max="19" width="5" style="19" customWidth="1"/>
    <col min="20" max="20" width="3.85546875" style="19" bestFit="1" customWidth="1"/>
    <col min="21" max="21" width="5" style="19" customWidth="1"/>
    <col min="22" max="16384" width="11.42578125" style="19"/>
  </cols>
  <sheetData>
    <row r="1" spans="1:20" ht="23.25" customHeight="1" thickBot="1">
      <c r="A1" s="307" t="s">
        <v>174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9"/>
      <c r="O1" s="1"/>
      <c r="P1" s="1"/>
      <c r="Q1" s="20"/>
      <c r="R1" s="21"/>
      <c r="S1" s="21"/>
      <c r="T1" s="21"/>
    </row>
    <row r="2" spans="1:20" s="24" customFormat="1" ht="12.75" customHeight="1">
      <c r="A2" s="39"/>
      <c r="B2" s="18"/>
      <c r="C2" s="40"/>
      <c r="D2" s="134"/>
      <c r="E2" s="41"/>
      <c r="F2" s="41"/>
      <c r="G2" s="41"/>
      <c r="H2" s="42"/>
      <c r="I2" s="42"/>
      <c r="J2" s="42"/>
      <c r="K2" s="41"/>
      <c r="L2" s="41"/>
      <c r="M2" s="43"/>
      <c r="N2" s="44"/>
      <c r="O2" s="2"/>
      <c r="P2" s="2"/>
      <c r="Q2" s="22"/>
      <c r="R2" s="23"/>
      <c r="S2" s="23"/>
      <c r="T2" s="23"/>
    </row>
    <row r="3" spans="1:20" ht="12.75" customHeight="1">
      <c r="A3" s="77" t="s">
        <v>16</v>
      </c>
      <c r="B3" s="310" t="s">
        <v>176</v>
      </c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1"/>
      <c r="O3" s="1"/>
      <c r="P3" s="1"/>
      <c r="Q3" s="20"/>
      <c r="R3" s="21"/>
      <c r="S3" s="21"/>
      <c r="T3" s="21"/>
    </row>
    <row r="4" spans="1:20">
      <c r="A4" s="77" t="s">
        <v>15</v>
      </c>
      <c r="B4" s="78" t="s">
        <v>160</v>
      </c>
      <c r="C4" s="79"/>
      <c r="D4" s="82"/>
      <c r="E4" s="80"/>
      <c r="F4" s="80"/>
      <c r="G4" s="81"/>
      <c r="H4" s="82"/>
      <c r="I4" s="82"/>
      <c r="J4" s="80" t="s">
        <v>19</v>
      </c>
      <c r="K4" s="83" t="s">
        <v>175</v>
      </c>
      <c r="L4" s="81"/>
      <c r="M4" s="78"/>
      <c r="N4" s="84"/>
      <c r="O4" s="1"/>
      <c r="P4" s="1"/>
    </row>
    <row r="5" spans="1:20">
      <c r="A5" s="77" t="s">
        <v>36</v>
      </c>
      <c r="B5" s="85" t="s">
        <v>161</v>
      </c>
      <c r="C5" s="86"/>
      <c r="D5" s="90"/>
      <c r="E5" s="80"/>
      <c r="F5" s="80"/>
      <c r="G5" s="87"/>
      <c r="H5" s="87"/>
      <c r="I5" s="87"/>
      <c r="J5" s="80" t="s">
        <v>14</v>
      </c>
      <c r="K5" s="83"/>
      <c r="L5" s="88"/>
      <c r="M5" s="89"/>
      <c r="N5" s="84"/>
      <c r="O5" s="1"/>
      <c r="P5" s="1"/>
    </row>
    <row r="6" spans="1:20">
      <c r="A6" s="77" t="s">
        <v>11</v>
      </c>
      <c r="B6" s="83"/>
      <c r="C6" s="79"/>
      <c r="D6" s="82"/>
      <c r="E6" s="82"/>
      <c r="F6" s="82"/>
      <c r="G6" s="82"/>
      <c r="H6" s="82"/>
      <c r="I6" s="82"/>
      <c r="J6" s="88"/>
      <c r="K6" s="88"/>
      <c r="L6" s="88"/>
      <c r="M6" s="89"/>
      <c r="N6" s="84"/>
      <c r="O6" s="1"/>
      <c r="P6" s="1"/>
    </row>
    <row r="7" spans="1:20">
      <c r="A7" s="77" t="s">
        <v>37</v>
      </c>
      <c r="B7" s="78" t="s">
        <v>177</v>
      </c>
      <c r="C7" s="79"/>
      <c r="D7" s="82"/>
      <c r="E7" s="82"/>
      <c r="F7" s="82"/>
      <c r="G7" s="82"/>
      <c r="H7" s="82"/>
      <c r="I7" s="82"/>
      <c r="J7" s="88"/>
      <c r="K7" s="88"/>
      <c r="L7" s="90"/>
      <c r="M7" s="86"/>
      <c r="N7" s="84"/>
      <c r="O7" s="1"/>
      <c r="P7" s="1"/>
    </row>
    <row r="8" spans="1:20" s="24" customFormat="1" ht="6.75" thickBot="1">
      <c r="A8" s="91"/>
      <c r="B8" s="92"/>
      <c r="C8" s="93"/>
      <c r="D8" s="135"/>
      <c r="E8" s="94"/>
      <c r="F8" s="95"/>
      <c r="G8" s="96"/>
      <c r="H8" s="97"/>
      <c r="I8" s="97"/>
      <c r="J8" s="97"/>
      <c r="K8" s="96"/>
      <c r="L8" s="96"/>
      <c r="M8" s="98"/>
      <c r="N8" s="99"/>
      <c r="O8" s="2"/>
      <c r="P8" s="2"/>
    </row>
    <row r="9" spans="1:20" ht="27" customHeight="1">
      <c r="A9" s="312" t="s">
        <v>4</v>
      </c>
      <c r="B9" s="314" t="s">
        <v>13</v>
      </c>
      <c r="C9" s="316" t="s">
        <v>18</v>
      </c>
      <c r="D9" s="318" t="s">
        <v>33</v>
      </c>
      <c r="E9" s="320" t="s">
        <v>5</v>
      </c>
      <c r="F9" s="320"/>
      <c r="G9" s="320"/>
      <c r="H9" s="318" t="s">
        <v>17</v>
      </c>
      <c r="I9" s="314" t="s">
        <v>6</v>
      </c>
      <c r="J9" s="314"/>
      <c r="K9" s="314"/>
      <c r="L9" s="314"/>
      <c r="M9" s="314"/>
      <c r="N9" s="321" t="s">
        <v>3</v>
      </c>
      <c r="O9" s="306"/>
      <c r="P9" s="1"/>
    </row>
    <row r="10" spans="1:20" ht="14.25" customHeight="1" thickBot="1">
      <c r="A10" s="313"/>
      <c r="B10" s="315"/>
      <c r="C10" s="317"/>
      <c r="D10" s="319"/>
      <c r="E10" s="131" t="s">
        <v>0</v>
      </c>
      <c r="F10" s="131" t="s">
        <v>1</v>
      </c>
      <c r="G10" s="131" t="s">
        <v>2</v>
      </c>
      <c r="H10" s="319"/>
      <c r="I10" s="131" t="s">
        <v>10</v>
      </c>
      <c r="J10" s="131" t="s">
        <v>12</v>
      </c>
      <c r="K10" s="131" t="s">
        <v>8</v>
      </c>
      <c r="L10" s="131" t="s">
        <v>7</v>
      </c>
      <c r="M10" s="133" t="s">
        <v>9</v>
      </c>
      <c r="N10" s="322"/>
      <c r="O10" s="306"/>
      <c r="P10" s="1"/>
    </row>
    <row r="11" spans="1:20" s="100" customFormat="1" ht="13.5">
      <c r="A11" s="105" t="s">
        <v>178</v>
      </c>
      <c r="B11" s="106" t="s">
        <v>168</v>
      </c>
      <c r="C11" s="107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</row>
    <row r="12" spans="1:20" s="29" customFormat="1">
      <c r="A12" s="114" t="s">
        <v>162</v>
      </c>
      <c r="B12" s="115" t="s">
        <v>170</v>
      </c>
      <c r="C12" s="116" t="s">
        <v>154</v>
      </c>
      <c r="D12" s="132"/>
      <c r="E12" s="117"/>
      <c r="F12" s="117"/>
      <c r="G12" s="117"/>
      <c r="H12" s="117"/>
      <c r="I12" s="117"/>
      <c r="J12" s="117"/>
      <c r="K12" s="117"/>
      <c r="L12" s="117"/>
      <c r="M12" s="117"/>
      <c r="N12" s="117">
        <f>SUM(M12:M14)</f>
        <v>1</v>
      </c>
    </row>
    <row r="13" spans="1:20" s="29" customFormat="1" hidden="1">
      <c r="A13" s="114"/>
      <c r="B13" s="115"/>
      <c r="C13" s="116"/>
      <c r="D13" s="132">
        <v>1</v>
      </c>
      <c r="E13" s="117"/>
      <c r="F13" s="117"/>
      <c r="G13" s="117"/>
      <c r="H13" s="117"/>
      <c r="I13" s="117"/>
      <c r="J13" s="117"/>
      <c r="K13" s="117"/>
      <c r="L13" s="117"/>
      <c r="M13" s="132">
        <v>1</v>
      </c>
      <c r="N13" s="117"/>
    </row>
    <row r="14" spans="1:20" s="73" customFormat="1" hidden="1">
      <c r="A14" s="109"/>
      <c r="B14" s="110"/>
      <c r="C14" s="111"/>
      <c r="D14" s="140"/>
      <c r="E14" s="112"/>
      <c r="F14" s="112"/>
      <c r="G14" s="112"/>
      <c r="H14" s="112"/>
      <c r="I14" s="112"/>
      <c r="J14" s="112"/>
      <c r="K14" s="112"/>
      <c r="L14" s="112"/>
      <c r="M14" s="112"/>
      <c r="N14" s="112"/>
    </row>
    <row r="15" spans="1:20" s="100" customFormat="1" ht="13.5">
      <c r="A15" s="105" t="s">
        <v>179</v>
      </c>
      <c r="B15" s="106" t="s">
        <v>169</v>
      </c>
      <c r="C15" s="107"/>
      <c r="D15" s="141"/>
      <c r="E15" s="108"/>
      <c r="F15" s="108"/>
      <c r="G15" s="108"/>
      <c r="H15" s="108"/>
      <c r="I15" s="108"/>
      <c r="J15" s="108"/>
      <c r="K15" s="108"/>
      <c r="L15" s="108"/>
      <c r="M15" s="108"/>
      <c r="N15" s="108"/>
    </row>
    <row r="16" spans="1:20" s="29" customFormat="1">
      <c r="A16" s="114" t="s">
        <v>166</v>
      </c>
      <c r="B16" s="115" t="s">
        <v>171</v>
      </c>
      <c r="C16" s="116" t="s">
        <v>59</v>
      </c>
      <c r="D16" s="132"/>
      <c r="E16" s="117"/>
      <c r="F16" s="117"/>
      <c r="G16" s="117"/>
      <c r="H16" s="117"/>
      <c r="I16" s="117"/>
      <c r="J16" s="117"/>
      <c r="K16" s="117"/>
      <c r="L16" s="117"/>
      <c r="M16" s="117"/>
      <c r="N16" s="117">
        <f>SUM(M16:M17)</f>
        <v>5</v>
      </c>
    </row>
    <row r="17" spans="1:14" s="73" customFormat="1" hidden="1">
      <c r="A17" s="109"/>
      <c r="B17" s="110"/>
      <c r="C17" s="111"/>
      <c r="D17" s="132">
        <v>5</v>
      </c>
      <c r="E17" s="112"/>
      <c r="F17" s="112"/>
      <c r="G17" s="112"/>
      <c r="H17" s="112"/>
      <c r="I17" s="112"/>
      <c r="J17" s="112"/>
      <c r="K17" s="112"/>
      <c r="L17" s="112"/>
      <c r="M17" s="132">
        <v>5</v>
      </c>
      <c r="N17" s="112"/>
    </row>
    <row r="18" spans="1:14" s="73" customFormat="1" hidden="1">
      <c r="A18" s="109"/>
      <c r="B18" s="110"/>
      <c r="C18" s="111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1:14" s="73" customFormat="1">
      <c r="A19" s="109" t="s">
        <v>163</v>
      </c>
      <c r="B19" s="110" t="s">
        <v>180</v>
      </c>
      <c r="C19" s="111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</row>
    <row r="20" spans="1:14" s="73" customFormat="1">
      <c r="A20" s="142" t="s">
        <v>164</v>
      </c>
      <c r="B20" s="142" t="s">
        <v>183</v>
      </c>
      <c r="C20" s="111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</row>
    <row r="21" spans="1:14" s="29" customFormat="1">
      <c r="A21" s="114" t="s">
        <v>184</v>
      </c>
      <c r="B21" s="115" t="s">
        <v>181</v>
      </c>
      <c r="C21" s="116" t="s">
        <v>59</v>
      </c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>
        <v>1</v>
      </c>
    </row>
    <row r="22" spans="1:14" s="27" customFormat="1" hidden="1">
      <c r="A22" s="118"/>
      <c r="B22" s="119"/>
      <c r="C22" s="120"/>
      <c r="D22" s="130">
        <v>1</v>
      </c>
      <c r="E22" s="130"/>
      <c r="F22" s="130"/>
      <c r="G22" s="130"/>
      <c r="H22" s="130">
        <v>1</v>
      </c>
      <c r="I22" s="130"/>
      <c r="J22" s="130"/>
      <c r="K22" s="130"/>
      <c r="L22" s="130"/>
      <c r="M22" s="130"/>
      <c r="N22" s="130"/>
    </row>
    <row r="23" spans="1:14" s="27" customFormat="1" hidden="1">
      <c r="A23" s="118"/>
      <c r="B23" s="119"/>
      <c r="C23" s="12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</row>
    <row r="24" spans="1:14" s="29" customFormat="1">
      <c r="A24" s="114" t="s">
        <v>185</v>
      </c>
      <c r="B24" s="115" t="s">
        <v>182</v>
      </c>
      <c r="C24" s="116" t="s">
        <v>59</v>
      </c>
      <c r="D24" s="132"/>
      <c r="E24" s="117"/>
      <c r="F24" s="117"/>
      <c r="G24" s="117"/>
      <c r="H24" s="132"/>
      <c r="I24" s="117"/>
      <c r="J24" s="117"/>
      <c r="K24" s="117"/>
      <c r="L24" s="117"/>
      <c r="M24" s="117"/>
      <c r="N24" s="117">
        <f>SUM(M25)</f>
        <v>4</v>
      </c>
    </row>
    <row r="25" spans="1:14" s="29" customFormat="1" hidden="1">
      <c r="A25" s="114"/>
      <c r="B25" s="115"/>
      <c r="C25" s="116"/>
      <c r="D25" s="132">
        <v>2</v>
      </c>
      <c r="E25" s="117"/>
      <c r="F25" s="117"/>
      <c r="G25" s="117"/>
      <c r="H25" s="132">
        <v>2</v>
      </c>
      <c r="I25" s="117"/>
      <c r="J25" s="117"/>
      <c r="K25" s="117"/>
      <c r="L25" s="117"/>
      <c r="M25" s="132">
        <f>PRODUCT(D25,H25)</f>
        <v>4</v>
      </c>
      <c r="N25" s="117"/>
    </row>
    <row r="26" spans="1:14" s="29" customFormat="1" hidden="1">
      <c r="A26" s="114"/>
      <c r="B26" s="115"/>
      <c r="C26" s="116"/>
      <c r="D26" s="132"/>
      <c r="E26" s="117"/>
      <c r="F26" s="117"/>
      <c r="G26" s="117"/>
      <c r="H26" s="132"/>
      <c r="I26" s="117"/>
      <c r="J26" s="117"/>
      <c r="K26" s="117"/>
      <c r="L26" s="117"/>
      <c r="M26" s="132"/>
      <c r="N26" s="117"/>
    </row>
    <row r="27" spans="1:14" s="29" customFormat="1">
      <c r="A27" s="142" t="s">
        <v>165</v>
      </c>
      <c r="B27" s="142" t="s">
        <v>190</v>
      </c>
      <c r="C27" s="116"/>
      <c r="D27" s="132"/>
      <c r="E27" s="117"/>
      <c r="F27" s="117"/>
      <c r="G27" s="117"/>
      <c r="H27" s="132"/>
      <c r="I27" s="117"/>
      <c r="J27" s="117"/>
      <c r="K27" s="117"/>
      <c r="L27" s="117"/>
      <c r="M27" s="132"/>
      <c r="N27" s="117"/>
    </row>
    <row r="28" spans="1:14" s="29" customFormat="1">
      <c r="A28" s="147" t="s">
        <v>191</v>
      </c>
      <c r="B28" s="147" t="s">
        <v>210</v>
      </c>
      <c r="C28" s="116"/>
      <c r="D28" s="132"/>
      <c r="E28" s="117"/>
      <c r="F28" s="117"/>
      <c r="G28" s="117"/>
      <c r="H28" s="132"/>
      <c r="I28" s="117"/>
      <c r="J28" s="117"/>
      <c r="K28" s="117"/>
      <c r="L28" s="117"/>
      <c r="M28" s="132"/>
      <c r="N28" s="117"/>
    </row>
    <row r="29" spans="1:14" s="29" customFormat="1">
      <c r="A29" s="114" t="s">
        <v>192</v>
      </c>
      <c r="B29" s="115" t="s">
        <v>211</v>
      </c>
      <c r="C29" s="116" t="s">
        <v>212</v>
      </c>
      <c r="D29" s="132"/>
      <c r="E29" s="117"/>
      <c r="F29" s="117"/>
      <c r="G29" s="117"/>
      <c r="H29" s="132"/>
      <c r="I29" s="117"/>
      <c r="J29" s="117"/>
      <c r="K29" s="117"/>
      <c r="L29" s="117"/>
      <c r="M29" s="132"/>
      <c r="N29" s="117">
        <f>PRODUCT(D30:G30)</f>
        <v>2.4</v>
      </c>
    </row>
    <row r="30" spans="1:14" s="29" customFormat="1" hidden="1">
      <c r="A30" s="142"/>
      <c r="B30" s="142"/>
      <c r="C30" s="116"/>
      <c r="D30" s="132">
        <v>1</v>
      </c>
      <c r="E30" s="117">
        <v>8</v>
      </c>
      <c r="F30" s="117">
        <v>0.3</v>
      </c>
      <c r="G30" s="117">
        <v>1</v>
      </c>
      <c r="H30" s="132"/>
      <c r="I30" s="117"/>
      <c r="J30" s="117"/>
      <c r="K30" s="117"/>
      <c r="L30" s="117"/>
      <c r="M30" s="132"/>
      <c r="N30" s="117"/>
    </row>
    <row r="31" spans="1:14" s="29" customFormat="1" hidden="1">
      <c r="A31" s="142"/>
      <c r="B31" s="142"/>
      <c r="C31" s="116"/>
      <c r="D31" s="132"/>
      <c r="E31" s="117"/>
      <c r="F31" s="117"/>
      <c r="G31" s="117"/>
      <c r="H31" s="132"/>
      <c r="I31" s="117"/>
      <c r="J31" s="117"/>
      <c r="K31" s="117"/>
      <c r="L31" s="117"/>
      <c r="M31" s="132"/>
      <c r="N31" s="117"/>
    </row>
    <row r="32" spans="1:14" s="29" customFormat="1">
      <c r="A32" s="114" t="s">
        <v>194</v>
      </c>
      <c r="B32" s="115" t="s">
        <v>187</v>
      </c>
      <c r="C32" s="116" t="s">
        <v>188</v>
      </c>
      <c r="D32" s="132"/>
      <c r="E32" s="117"/>
      <c r="F32" s="117"/>
      <c r="G32" s="117"/>
      <c r="H32" s="132"/>
      <c r="I32" s="117"/>
      <c r="J32" s="117"/>
      <c r="K32" s="117"/>
      <c r="L32" s="117"/>
      <c r="M32" s="117"/>
      <c r="N32" s="117">
        <v>3</v>
      </c>
    </row>
    <row r="33" spans="1:14" s="29" customFormat="1" hidden="1">
      <c r="A33" s="114"/>
      <c r="B33" s="115"/>
      <c r="C33" s="116"/>
      <c r="D33" s="132">
        <v>1</v>
      </c>
      <c r="E33" s="117"/>
      <c r="F33" s="117"/>
      <c r="G33" s="117"/>
      <c r="H33" s="132">
        <v>3</v>
      </c>
      <c r="I33" s="117"/>
      <c r="J33" s="117"/>
      <c r="K33" s="117"/>
      <c r="L33" s="117"/>
      <c r="M33" s="132">
        <v>3</v>
      </c>
      <c r="N33" s="117"/>
    </row>
    <row r="34" spans="1:14" s="29" customFormat="1" hidden="1">
      <c r="A34" s="114"/>
      <c r="B34" s="115"/>
      <c r="C34" s="116"/>
      <c r="D34" s="132"/>
      <c r="E34" s="117"/>
      <c r="F34" s="117"/>
      <c r="G34" s="117"/>
      <c r="H34" s="132"/>
      <c r="I34" s="117"/>
      <c r="J34" s="117"/>
      <c r="K34" s="117"/>
      <c r="L34" s="117"/>
      <c r="M34" s="132"/>
      <c r="N34" s="117"/>
    </row>
    <row r="35" spans="1:14" s="29" customFormat="1">
      <c r="A35" s="114" t="s">
        <v>214</v>
      </c>
      <c r="B35" s="115" t="s">
        <v>213</v>
      </c>
      <c r="C35" s="116" t="s">
        <v>212</v>
      </c>
      <c r="D35" s="132"/>
      <c r="E35" s="117"/>
      <c r="F35" s="117"/>
      <c r="G35" s="117"/>
      <c r="H35" s="132"/>
      <c r="I35" s="117"/>
      <c r="J35" s="117"/>
      <c r="K35" s="117"/>
      <c r="L35" s="117"/>
      <c r="M35" s="132"/>
      <c r="N35" s="117">
        <f>PRODUCT(D36:G36)</f>
        <v>1.68</v>
      </c>
    </row>
    <row r="36" spans="1:14" s="29" customFormat="1" hidden="1">
      <c r="A36" s="142"/>
      <c r="B36" s="142"/>
      <c r="C36" s="116"/>
      <c r="D36" s="132">
        <v>1</v>
      </c>
      <c r="E36" s="117">
        <v>8</v>
      </c>
      <c r="F36" s="117">
        <v>0.3</v>
      </c>
      <c r="G36" s="117">
        <v>0.7</v>
      </c>
      <c r="H36" s="132"/>
      <c r="I36" s="117"/>
      <c r="J36" s="117"/>
      <c r="K36" s="117"/>
      <c r="L36" s="117"/>
      <c r="M36" s="132"/>
      <c r="N36" s="117"/>
    </row>
    <row r="37" spans="1:14" s="29" customFormat="1" hidden="1">
      <c r="A37" s="114"/>
      <c r="B37" s="115"/>
      <c r="C37" s="116"/>
      <c r="D37" s="132"/>
      <c r="E37" s="117"/>
      <c r="F37" s="117"/>
      <c r="G37" s="117"/>
      <c r="H37" s="132"/>
      <c r="I37" s="117"/>
      <c r="J37" s="117"/>
      <c r="K37" s="117"/>
      <c r="L37" s="117"/>
      <c r="M37" s="132"/>
      <c r="N37" s="117"/>
    </row>
    <row r="38" spans="1:14" s="29" customFormat="1">
      <c r="A38" s="114" t="s">
        <v>215</v>
      </c>
      <c r="B38" s="115" t="s">
        <v>193</v>
      </c>
      <c r="C38" s="116" t="s">
        <v>188</v>
      </c>
      <c r="D38" s="132"/>
      <c r="E38" s="117"/>
      <c r="F38" s="117"/>
      <c r="G38" s="117"/>
      <c r="H38" s="132"/>
      <c r="I38" s="117"/>
      <c r="J38" s="117"/>
      <c r="K38" s="117"/>
      <c r="L38" s="117"/>
      <c r="M38" s="132"/>
      <c r="N38" s="117">
        <v>1</v>
      </c>
    </row>
    <row r="39" spans="1:14" s="29" customFormat="1" hidden="1">
      <c r="A39" s="114"/>
      <c r="B39" s="115"/>
      <c r="C39" s="116"/>
      <c r="D39" s="132">
        <v>1</v>
      </c>
      <c r="E39" s="117"/>
      <c r="F39" s="117"/>
      <c r="G39" s="117"/>
      <c r="H39" s="132">
        <v>1</v>
      </c>
      <c r="I39" s="117"/>
      <c r="J39" s="117"/>
      <c r="K39" s="117"/>
      <c r="L39" s="117"/>
      <c r="M39" s="132">
        <v>1</v>
      </c>
      <c r="N39" s="117"/>
    </row>
    <row r="40" spans="1:14" s="29" customFormat="1" hidden="1">
      <c r="A40" s="114"/>
      <c r="B40" s="115"/>
      <c r="C40" s="116"/>
      <c r="D40" s="132"/>
      <c r="E40" s="117"/>
      <c r="F40" s="117"/>
      <c r="G40" s="117"/>
      <c r="H40" s="132"/>
      <c r="I40" s="117"/>
      <c r="J40" s="117"/>
      <c r="K40" s="117"/>
      <c r="L40" s="117"/>
      <c r="M40" s="117"/>
      <c r="N40" s="117"/>
    </row>
    <row r="41" spans="1:14" s="29" customFormat="1">
      <c r="A41" s="114" t="s">
        <v>216</v>
      </c>
      <c r="B41" s="115" t="s">
        <v>189</v>
      </c>
      <c r="C41" s="116" t="s">
        <v>188</v>
      </c>
      <c r="D41" s="132"/>
      <c r="E41" s="117"/>
      <c r="F41" s="117" t="s">
        <v>186</v>
      </c>
      <c r="G41" s="117"/>
      <c r="H41" s="132"/>
      <c r="I41" s="117"/>
      <c r="J41" s="117"/>
      <c r="K41" s="117"/>
      <c r="L41" s="117"/>
      <c r="M41" s="117"/>
      <c r="N41" s="117">
        <v>1</v>
      </c>
    </row>
    <row r="42" spans="1:14" s="29" customFormat="1" hidden="1">
      <c r="A42" s="114"/>
      <c r="B42" s="115"/>
      <c r="C42" s="116"/>
      <c r="D42" s="132">
        <v>1</v>
      </c>
      <c r="E42" s="117"/>
      <c r="F42" s="117"/>
      <c r="G42" s="117"/>
      <c r="H42" s="132">
        <v>1</v>
      </c>
      <c r="I42" s="117"/>
      <c r="J42" s="117"/>
      <c r="K42" s="117"/>
      <c r="L42" s="117"/>
      <c r="M42" s="132">
        <v>1</v>
      </c>
      <c r="N42" s="117"/>
    </row>
    <row r="43" spans="1:14" s="29" customFormat="1" hidden="1">
      <c r="A43" s="114"/>
      <c r="B43" s="115"/>
      <c r="C43" s="116"/>
      <c r="D43" s="132"/>
      <c r="E43" s="117"/>
      <c r="F43" s="117"/>
      <c r="G43" s="117"/>
      <c r="H43" s="132"/>
      <c r="I43" s="117"/>
      <c r="J43" s="117"/>
      <c r="K43" s="117"/>
      <c r="L43" s="117"/>
      <c r="M43" s="132"/>
      <c r="N43" s="117"/>
    </row>
    <row r="44" spans="1:14" s="29" customFormat="1" ht="15.75" customHeight="1">
      <c r="A44" s="143" t="s">
        <v>196</v>
      </c>
      <c r="B44" s="106" t="s">
        <v>198</v>
      </c>
      <c r="C44" s="116"/>
      <c r="D44" s="132"/>
      <c r="E44" s="117"/>
      <c r="F44" s="117"/>
      <c r="G44" s="117"/>
      <c r="H44" s="132"/>
      <c r="I44" s="117"/>
      <c r="J44" s="117"/>
      <c r="K44" s="117"/>
      <c r="L44" s="117"/>
      <c r="M44" s="132"/>
      <c r="N44" s="117"/>
    </row>
    <row r="45" spans="1:14" s="29" customFormat="1">
      <c r="A45" s="146" t="s">
        <v>167</v>
      </c>
      <c r="B45" s="110" t="s">
        <v>195</v>
      </c>
      <c r="C45" s="116"/>
      <c r="D45" s="132"/>
      <c r="E45" s="117"/>
      <c r="F45" s="117"/>
      <c r="G45" s="117"/>
      <c r="H45" s="132"/>
      <c r="I45" s="117"/>
      <c r="J45" s="117"/>
      <c r="K45" s="117"/>
      <c r="L45" s="117"/>
      <c r="M45" s="132"/>
      <c r="N45" s="117"/>
    </row>
    <row r="46" spans="1:14" s="29" customFormat="1">
      <c r="A46" s="114" t="s">
        <v>199</v>
      </c>
      <c r="B46" s="115" t="s">
        <v>197</v>
      </c>
      <c r="C46" s="116" t="s">
        <v>154</v>
      </c>
      <c r="D46" s="132"/>
      <c r="E46" s="117"/>
      <c r="F46" s="117"/>
      <c r="G46" s="117"/>
      <c r="H46" s="132"/>
      <c r="I46" s="117"/>
      <c r="J46" s="117"/>
      <c r="K46" s="117"/>
      <c r="L46" s="117"/>
      <c r="M46" s="132"/>
      <c r="N46" s="117">
        <v>1</v>
      </c>
    </row>
    <row r="47" spans="1:14" s="29" customFormat="1" hidden="1">
      <c r="A47" s="114"/>
      <c r="B47" s="115"/>
      <c r="C47" s="116"/>
      <c r="D47" s="132">
        <v>1</v>
      </c>
      <c r="E47" s="117"/>
      <c r="F47" s="117"/>
      <c r="G47" s="117"/>
      <c r="H47" s="132">
        <v>1</v>
      </c>
      <c r="I47" s="117"/>
      <c r="J47" s="117"/>
      <c r="K47" s="117"/>
      <c r="L47" s="117"/>
      <c r="M47" s="132">
        <v>1</v>
      </c>
      <c r="N47" s="117"/>
    </row>
    <row r="48" spans="1:14" s="29" customFormat="1" hidden="1">
      <c r="A48" s="114"/>
      <c r="B48" s="115"/>
      <c r="C48" s="116"/>
      <c r="D48" s="132"/>
      <c r="E48" s="117"/>
      <c r="F48" s="117"/>
      <c r="G48" s="117"/>
      <c r="H48" s="132"/>
      <c r="I48" s="117"/>
      <c r="J48" s="117"/>
      <c r="K48" s="117"/>
      <c r="L48" s="117"/>
      <c r="M48" s="132"/>
      <c r="N48" s="117"/>
    </row>
    <row r="49" spans="1:14" s="29" customFormat="1">
      <c r="A49" s="146" t="s">
        <v>206</v>
      </c>
      <c r="B49" s="110" t="s">
        <v>200</v>
      </c>
      <c r="C49" s="116"/>
      <c r="D49" s="132"/>
      <c r="E49" s="117"/>
      <c r="F49" s="117"/>
      <c r="G49" s="117"/>
      <c r="H49" s="132"/>
      <c r="I49" s="117"/>
      <c r="J49" s="117"/>
      <c r="K49" s="117"/>
      <c r="L49" s="117"/>
      <c r="M49" s="132"/>
      <c r="N49" s="117"/>
    </row>
    <row r="50" spans="1:14" s="29" customFormat="1">
      <c r="A50" s="114" t="s">
        <v>207</v>
      </c>
      <c r="B50" s="115" t="s">
        <v>201</v>
      </c>
      <c r="C50" s="116" t="s">
        <v>154</v>
      </c>
      <c r="D50" s="132"/>
      <c r="E50" s="117"/>
      <c r="F50" s="117"/>
      <c r="G50" s="117"/>
      <c r="H50" s="132"/>
      <c r="I50" s="117"/>
      <c r="J50" s="117"/>
      <c r="K50" s="117"/>
      <c r="L50" s="117"/>
      <c r="M50" s="132"/>
      <c r="N50" s="117">
        <v>1</v>
      </c>
    </row>
    <row r="51" spans="1:14" s="29" customFormat="1" hidden="1">
      <c r="A51" s="114"/>
      <c r="B51" s="115"/>
      <c r="C51" s="116"/>
      <c r="D51" s="132">
        <v>1</v>
      </c>
      <c r="E51" s="117"/>
      <c r="F51" s="117"/>
      <c r="G51" s="117"/>
      <c r="H51" s="132">
        <v>1</v>
      </c>
      <c r="I51" s="117"/>
      <c r="J51" s="117"/>
      <c r="K51" s="117"/>
      <c r="L51" s="117"/>
      <c r="M51" s="132">
        <v>1</v>
      </c>
      <c r="N51" s="117"/>
    </row>
    <row r="52" spans="1:14" s="29" customFormat="1" hidden="1">
      <c r="A52" s="114"/>
      <c r="B52" s="115"/>
      <c r="C52" s="116"/>
      <c r="D52" s="132"/>
      <c r="E52" s="117"/>
      <c r="F52" s="117"/>
      <c r="G52" s="117"/>
      <c r="H52" s="132"/>
      <c r="I52" s="117"/>
      <c r="J52" s="117"/>
      <c r="K52" s="117"/>
      <c r="L52" s="117"/>
      <c r="M52" s="132"/>
      <c r="N52" s="117"/>
    </row>
    <row r="53" spans="1:14" s="29" customFormat="1">
      <c r="A53" s="146" t="s">
        <v>205</v>
      </c>
      <c r="B53" s="110" t="s">
        <v>172</v>
      </c>
      <c r="C53" s="116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</row>
    <row r="54" spans="1:14" s="29" customFormat="1" ht="28.5" customHeight="1">
      <c r="A54" s="114" t="s">
        <v>208</v>
      </c>
      <c r="B54" s="115" t="s">
        <v>173</v>
      </c>
      <c r="C54" s="116" t="s">
        <v>154</v>
      </c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>
        <v>1</v>
      </c>
    </row>
    <row r="55" spans="1:14" s="29" customFormat="1" hidden="1">
      <c r="A55" s="114"/>
      <c r="B55" s="115"/>
      <c r="C55" s="116"/>
      <c r="D55" s="132">
        <v>1</v>
      </c>
      <c r="E55" s="132"/>
      <c r="F55" s="132"/>
      <c r="G55" s="132"/>
      <c r="H55" s="132"/>
      <c r="I55" s="132"/>
      <c r="J55" s="132"/>
      <c r="K55" s="132"/>
      <c r="L55" s="132"/>
      <c r="M55" s="132">
        <v>1</v>
      </c>
      <c r="N55" s="117"/>
    </row>
    <row r="56" spans="1:14" s="29" customFormat="1">
      <c r="A56" s="146" t="s">
        <v>204</v>
      </c>
      <c r="B56" s="110" t="s">
        <v>202</v>
      </c>
      <c r="C56" s="144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</row>
    <row r="57" spans="1:14" s="29" customFormat="1" ht="15" customHeight="1">
      <c r="A57" s="114" t="s">
        <v>209</v>
      </c>
      <c r="B57" s="115" t="s">
        <v>203</v>
      </c>
      <c r="C57" s="145" t="s">
        <v>154</v>
      </c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>
        <v>1</v>
      </c>
    </row>
    <row r="58" spans="1:14" s="30" customFormat="1" hidden="1">
      <c r="A58" s="113"/>
      <c r="B58" s="104"/>
      <c r="C58" s="76"/>
      <c r="D58" s="130">
        <v>1</v>
      </c>
      <c r="E58" s="130"/>
      <c r="F58" s="130"/>
      <c r="G58" s="130"/>
      <c r="H58" s="130"/>
      <c r="I58" s="130"/>
      <c r="J58" s="130"/>
      <c r="K58" s="130"/>
      <c r="L58" s="130"/>
      <c r="M58" s="130">
        <v>1</v>
      </c>
      <c r="N58" s="129"/>
    </row>
    <row r="59" spans="1:14" s="30" customFormat="1" hidden="1">
      <c r="A59" s="113"/>
      <c r="B59" s="104"/>
      <c r="C59" s="76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</row>
    <row r="62" spans="1:14" s="30" customFormat="1">
      <c r="A62" s="113"/>
      <c r="B62" s="104"/>
      <c r="C62" s="76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</row>
    <row r="63" spans="1:14" s="30" customFormat="1">
      <c r="A63" s="113"/>
      <c r="B63" s="104"/>
      <c r="C63" s="76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</row>
    <row r="64" spans="1:14" s="30" customFormat="1">
      <c r="A64" s="113"/>
      <c r="B64" s="104"/>
      <c r="C64" s="76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</row>
    <row r="65" spans="1:14" s="30" customFormat="1">
      <c r="A65" s="113"/>
      <c r="B65" s="104"/>
      <c r="C65" s="76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</row>
    <row r="66" spans="1:14" s="30" customFormat="1">
      <c r="A66" s="113"/>
      <c r="B66" s="104"/>
      <c r="C66" s="76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</row>
    <row r="67" spans="1:14" s="30" customFormat="1">
      <c r="A67" s="113"/>
      <c r="B67" s="104"/>
      <c r="C67" s="76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</row>
    <row r="68" spans="1:14" s="30" customFormat="1">
      <c r="A68" s="125"/>
      <c r="B68" s="126"/>
      <c r="C68" s="127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</row>
    <row r="69" spans="1:14" s="30" customFormat="1">
      <c r="A69" s="113"/>
      <c r="B69" s="104"/>
      <c r="C69" s="76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</row>
    <row r="70" spans="1:14" s="30" customFormat="1">
      <c r="A70" s="113"/>
      <c r="B70" s="104"/>
      <c r="C70" s="76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</row>
    <row r="71" spans="1:14" s="30" customFormat="1">
      <c r="A71" s="113"/>
      <c r="B71" s="104"/>
      <c r="C71" s="76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</row>
    <row r="72" spans="1:14" s="30" customFormat="1">
      <c r="A72" s="113"/>
      <c r="B72" s="104"/>
      <c r="C72" s="76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</row>
    <row r="73" spans="1:14" s="30" customFormat="1">
      <c r="A73" s="113"/>
      <c r="B73" s="104"/>
      <c r="C73" s="76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</row>
    <row r="74" spans="1:14" s="30" customFormat="1">
      <c r="A74" s="113"/>
      <c r="B74" s="104"/>
      <c r="C74" s="76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</row>
    <row r="75" spans="1:14" s="30" customFormat="1">
      <c r="A75" s="125"/>
      <c r="B75" s="126"/>
      <c r="C75" s="127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</row>
    <row r="76" spans="1:14" s="30" customFormat="1">
      <c r="A76" s="113"/>
      <c r="B76" s="104"/>
      <c r="C76" s="76"/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</row>
    <row r="77" spans="1:14" s="30" customFormat="1">
      <c r="A77" s="113"/>
      <c r="B77" s="104"/>
      <c r="C77" s="76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</row>
    <row r="78" spans="1:14" s="30" customFormat="1">
      <c r="A78" s="113"/>
      <c r="B78" s="104"/>
      <c r="C78" s="76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</row>
    <row r="79" spans="1:14" s="30" customFormat="1">
      <c r="A79" s="113"/>
      <c r="B79" s="104"/>
      <c r="C79" s="76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</row>
    <row r="80" spans="1:14" s="30" customFormat="1">
      <c r="A80" s="113"/>
      <c r="B80" s="104"/>
      <c r="C80" s="76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</row>
    <row r="81" spans="1:14" s="30" customFormat="1">
      <c r="A81" s="113"/>
      <c r="B81" s="104"/>
      <c r="C81" s="76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</row>
    <row r="82" spans="1:14" s="30" customFormat="1">
      <c r="A82" s="113"/>
      <c r="B82" s="104"/>
      <c r="C82" s="76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</row>
    <row r="83" spans="1:14" s="30" customFormat="1">
      <c r="A83" s="113"/>
      <c r="B83" s="104"/>
      <c r="C83" s="76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</row>
    <row r="84" spans="1:14" s="30" customFormat="1">
      <c r="A84" s="113"/>
      <c r="B84" s="104"/>
      <c r="C84" s="76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</row>
    <row r="85" spans="1:14" s="30" customFormat="1">
      <c r="A85" s="113"/>
      <c r="B85" s="104"/>
      <c r="C85" s="76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</row>
    <row r="86" spans="1:14" s="30" customFormat="1">
      <c r="A86" s="113"/>
      <c r="B86" s="104"/>
      <c r="C86" s="76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</row>
    <row r="87" spans="1:14" s="30" customFormat="1">
      <c r="A87" s="113"/>
      <c r="B87" s="104"/>
      <c r="C87" s="76"/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</row>
    <row r="88" spans="1:14" s="30" customFormat="1">
      <c r="A88" s="113"/>
      <c r="B88" s="104"/>
      <c r="C88" s="76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</row>
    <row r="89" spans="1:14" s="30" customFormat="1">
      <c r="A89" s="125"/>
      <c r="B89" s="126"/>
      <c r="C89" s="127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</row>
    <row r="90" spans="1:14" s="30" customFormat="1">
      <c r="A90" s="113"/>
      <c r="B90" s="104"/>
      <c r="C90" s="76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</row>
    <row r="91" spans="1:14" s="30" customFormat="1">
      <c r="A91" s="113"/>
      <c r="B91" s="104"/>
      <c r="C91" s="76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</row>
    <row r="92" spans="1:14" s="30" customFormat="1">
      <c r="A92" s="113"/>
      <c r="B92" s="104"/>
      <c r="C92" s="76"/>
      <c r="D92" s="129"/>
      <c r="E92" s="129"/>
      <c r="F92" s="129"/>
      <c r="G92" s="129"/>
      <c r="H92" s="129"/>
      <c r="I92" s="129"/>
      <c r="J92" s="129"/>
      <c r="K92" s="129"/>
      <c r="L92" s="129"/>
      <c r="M92" s="129"/>
      <c r="N92" s="129"/>
    </row>
    <row r="93" spans="1:14" s="30" customFormat="1">
      <c r="A93" s="113"/>
      <c r="B93" s="104"/>
      <c r="C93" s="76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</row>
    <row r="94" spans="1:14" s="30" customFormat="1">
      <c r="A94" s="113"/>
      <c r="B94" s="104"/>
      <c r="C94" s="76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</row>
    <row r="95" spans="1:14" s="30" customFormat="1">
      <c r="A95" s="113"/>
      <c r="B95" s="104"/>
      <c r="C95" s="76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</row>
    <row r="96" spans="1:14" s="30" customFormat="1">
      <c r="A96" s="113"/>
      <c r="B96" s="104"/>
      <c r="C96" s="76"/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</row>
    <row r="97" spans="1:14" s="30" customFormat="1">
      <c r="A97" s="125"/>
      <c r="B97" s="126"/>
      <c r="C97" s="127"/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</row>
    <row r="98" spans="1:14" s="30" customFormat="1">
      <c r="A98" s="113"/>
      <c r="B98" s="104"/>
      <c r="C98" s="76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</row>
    <row r="99" spans="1:14" s="30" customFormat="1">
      <c r="A99" s="113"/>
      <c r="B99" s="104"/>
      <c r="C99" s="76"/>
      <c r="D99" s="129"/>
      <c r="E99" s="129"/>
      <c r="F99" s="129"/>
      <c r="G99" s="129"/>
      <c r="H99" s="129"/>
      <c r="I99" s="129"/>
      <c r="J99" s="129"/>
      <c r="K99" s="129"/>
      <c r="L99" s="129"/>
      <c r="M99" s="129"/>
      <c r="N99" s="129"/>
    </row>
    <row r="100" spans="1:14" s="30" customFormat="1">
      <c r="A100" s="113"/>
      <c r="B100" s="104"/>
      <c r="C100" s="76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</row>
    <row r="101" spans="1:14" s="30" customFormat="1">
      <c r="A101" s="113"/>
      <c r="B101" s="104"/>
      <c r="C101" s="76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</row>
    <row r="102" spans="1:14" s="30" customFormat="1">
      <c r="A102" s="113"/>
      <c r="B102" s="104"/>
      <c r="C102" s="76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</row>
    <row r="103" spans="1:14" s="30" customFormat="1">
      <c r="A103" s="113"/>
      <c r="B103" s="104"/>
      <c r="C103" s="76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</row>
    <row r="104" spans="1:14" s="30" customFormat="1">
      <c r="A104" s="113"/>
      <c r="B104" s="104"/>
      <c r="C104" s="76"/>
      <c r="D104" s="129"/>
      <c r="E104" s="129"/>
      <c r="F104" s="129"/>
      <c r="G104" s="129"/>
      <c r="H104" s="129"/>
      <c r="I104" s="129"/>
      <c r="J104" s="129"/>
      <c r="K104" s="129"/>
      <c r="L104" s="129"/>
      <c r="M104" s="129"/>
      <c r="N104" s="129"/>
    </row>
    <row r="105" spans="1:14" s="30" customFormat="1">
      <c r="A105" s="113"/>
      <c r="B105" s="104"/>
      <c r="C105" s="76"/>
      <c r="D105" s="129"/>
      <c r="E105" s="129"/>
      <c r="F105" s="129"/>
      <c r="G105" s="129"/>
      <c r="H105" s="129"/>
      <c r="I105" s="129"/>
      <c r="J105" s="129"/>
      <c r="K105" s="129"/>
      <c r="L105" s="129"/>
      <c r="M105" s="129"/>
      <c r="N105" s="129"/>
    </row>
    <row r="106" spans="1:14" s="30" customFormat="1">
      <c r="A106" s="113"/>
      <c r="B106" s="104"/>
      <c r="C106" s="76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</row>
    <row r="107" spans="1:14" s="30" customFormat="1">
      <c r="A107" s="113"/>
      <c r="B107" s="104"/>
      <c r="C107" s="76"/>
      <c r="D107" s="129"/>
      <c r="E107" s="129"/>
      <c r="F107" s="129"/>
      <c r="G107" s="129"/>
      <c r="H107" s="129"/>
      <c r="I107" s="129"/>
      <c r="J107" s="129"/>
      <c r="K107" s="129"/>
      <c r="L107" s="129"/>
      <c r="M107" s="129"/>
      <c r="N107" s="129"/>
    </row>
    <row r="108" spans="1:14" s="30" customFormat="1">
      <c r="A108" s="113"/>
      <c r="B108" s="104"/>
      <c r="C108" s="76"/>
      <c r="D108" s="129"/>
      <c r="E108" s="129"/>
      <c r="F108" s="129"/>
      <c r="G108" s="129"/>
      <c r="H108" s="129"/>
      <c r="I108" s="129"/>
      <c r="J108" s="129"/>
      <c r="K108" s="129"/>
      <c r="L108" s="129"/>
      <c r="M108" s="129"/>
      <c r="N108" s="129"/>
    </row>
    <row r="109" spans="1:14" s="30" customFormat="1">
      <c r="A109" s="113"/>
      <c r="B109" s="104"/>
      <c r="C109" s="76"/>
      <c r="D109" s="129"/>
      <c r="E109" s="129"/>
      <c r="F109" s="129"/>
      <c r="G109" s="129"/>
      <c r="H109" s="129"/>
      <c r="I109" s="129"/>
      <c r="J109" s="129"/>
      <c r="K109" s="129"/>
      <c r="L109" s="129"/>
      <c r="M109" s="129"/>
      <c r="N109" s="129"/>
    </row>
    <row r="110" spans="1:14" s="30" customFormat="1">
      <c r="A110" s="113"/>
      <c r="B110" s="104"/>
      <c r="C110" s="76"/>
      <c r="D110" s="129"/>
      <c r="E110" s="129"/>
      <c r="F110" s="129"/>
      <c r="G110" s="129"/>
      <c r="H110" s="129"/>
      <c r="I110" s="129"/>
      <c r="J110" s="129"/>
      <c r="K110" s="129"/>
      <c r="L110" s="129"/>
      <c r="M110" s="129"/>
      <c r="N110" s="129"/>
    </row>
    <row r="111" spans="1:14" s="30" customFormat="1">
      <c r="A111" s="113"/>
      <c r="B111" s="104"/>
      <c r="C111" s="76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</row>
    <row r="112" spans="1:14" s="30" customFormat="1">
      <c r="A112" s="113"/>
      <c r="B112" s="104"/>
      <c r="C112" s="76"/>
      <c r="D112" s="129"/>
      <c r="E112" s="129"/>
      <c r="F112" s="129"/>
      <c r="G112" s="129"/>
      <c r="H112" s="129"/>
      <c r="I112" s="129"/>
      <c r="J112" s="129"/>
      <c r="K112" s="129"/>
      <c r="L112" s="129"/>
      <c r="M112" s="129"/>
      <c r="N112" s="129"/>
    </row>
    <row r="113" spans="1:14" s="30" customFormat="1">
      <c r="A113" s="113"/>
      <c r="B113" s="104"/>
      <c r="C113" s="76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</row>
    <row r="114" spans="1:14" s="30" customFormat="1">
      <c r="A114" s="113"/>
      <c r="B114" s="104"/>
      <c r="C114" s="76"/>
      <c r="D114" s="129"/>
      <c r="E114" s="129"/>
      <c r="F114" s="129"/>
      <c r="G114" s="129"/>
      <c r="H114" s="129"/>
      <c r="I114" s="129"/>
      <c r="J114" s="129"/>
      <c r="K114" s="129"/>
      <c r="L114" s="129"/>
      <c r="M114" s="129"/>
      <c r="N114" s="129"/>
    </row>
    <row r="115" spans="1:14" s="30" customFormat="1">
      <c r="A115" s="113"/>
      <c r="B115" s="104"/>
      <c r="C115" s="76"/>
      <c r="D115" s="129"/>
      <c r="E115" s="129"/>
      <c r="F115" s="129"/>
      <c r="G115" s="129"/>
      <c r="H115" s="129"/>
      <c r="I115" s="129"/>
      <c r="J115" s="129"/>
      <c r="K115" s="129"/>
      <c r="L115" s="129"/>
      <c r="M115" s="129"/>
      <c r="N115" s="129"/>
    </row>
    <row r="116" spans="1:14" s="30" customFormat="1">
      <c r="A116" s="113"/>
      <c r="B116" s="104"/>
      <c r="C116" s="76"/>
      <c r="D116" s="129"/>
      <c r="E116" s="129"/>
      <c r="F116" s="129"/>
      <c r="G116" s="129"/>
      <c r="H116" s="129"/>
      <c r="I116" s="129"/>
      <c r="J116" s="129"/>
      <c r="K116" s="129"/>
      <c r="L116" s="129"/>
      <c r="M116" s="129"/>
      <c r="N116" s="129"/>
    </row>
    <row r="117" spans="1:14" s="30" customFormat="1">
      <c r="A117" s="125"/>
      <c r="B117" s="126"/>
      <c r="C117" s="127"/>
      <c r="D117" s="128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</row>
    <row r="118" spans="1:14" s="30" customFormat="1">
      <c r="A118" s="113"/>
      <c r="B118" s="104"/>
      <c r="C118" s="76"/>
      <c r="D118" s="129"/>
      <c r="E118" s="129"/>
      <c r="F118" s="129"/>
      <c r="G118" s="129"/>
      <c r="H118" s="129"/>
      <c r="I118" s="129"/>
      <c r="J118" s="129"/>
      <c r="K118" s="129"/>
      <c r="L118" s="129"/>
      <c r="M118" s="129"/>
      <c r="N118" s="129"/>
    </row>
    <row r="119" spans="1:14" s="30" customFormat="1">
      <c r="A119" s="113"/>
      <c r="B119" s="104"/>
      <c r="C119" s="76"/>
      <c r="D119" s="129"/>
      <c r="E119" s="129"/>
      <c r="F119" s="129"/>
      <c r="G119" s="129"/>
      <c r="H119" s="129"/>
      <c r="I119" s="129"/>
      <c r="J119" s="129"/>
      <c r="K119" s="129"/>
      <c r="L119" s="129"/>
      <c r="M119" s="129"/>
      <c r="N119" s="129"/>
    </row>
    <row r="120" spans="1:14" s="30" customFormat="1">
      <c r="A120" s="113"/>
      <c r="B120" s="104"/>
      <c r="C120" s="76"/>
      <c r="D120" s="129"/>
      <c r="E120" s="129"/>
      <c r="F120" s="129"/>
      <c r="G120" s="129"/>
      <c r="H120" s="129"/>
      <c r="I120" s="129"/>
      <c r="J120" s="129"/>
      <c r="K120" s="129"/>
      <c r="L120" s="129"/>
      <c r="M120" s="129"/>
      <c r="N120" s="129"/>
    </row>
    <row r="121" spans="1:14" s="30" customFormat="1">
      <c r="A121" s="113"/>
      <c r="B121" s="104"/>
      <c r="C121" s="76"/>
      <c r="D121" s="129"/>
      <c r="E121" s="129"/>
      <c r="F121" s="129"/>
      <c r="G121" s="129"/>
      <c r="H121" s="129"/>
      <c r="I121" s="129"/>
      <c r="J121" s="129"/>
      <c r="K121" s="129"/>
      <c r="L121" s="129"/>
      <c r="M121" s="129"/>
      <c r="N121" s="129"/>
    </row>
    <row r="122" spans="1:14" s="30" customFormat="1">
      <c r="A122" s="113"/>
      <c r="B122" s="104"/>
      <c r="C122" s="76"/>
      <c r="D122" s="129"/>
      <c r="E122" s="129"/>
      <c r="F122" s="129"/>
      <c r="G122" s="129"/>
      <c r="H122" s="129"/>
      <c r="I122" s="129"/>
      <c r="J122" s="129"/>
      <c r="K122" s="129"/>
      <c r="L122" s="129"/>
      <c r="M122" s="129"/>
      <c r="N122" s="129"/>
    </row>
    <row r="123" spans="1:14" s="30" customFormat="1">
      <c r="A123" s="113"/>
      <c r="B123" s="104"/>
      <c r="C123" s="76"/>
      <c r="D123" s="129"/>
      <c r="E123" s="129"/>
      <c r="F123" s="129"/>
      <c r="G123" s="129"/>
      <c r="H123" s="129"/>
      <c r="I123" s="129"/>
      <c r="J123" s="129"/>
      <c r="K123" s="129"/>
      <c r="L123" s="129"/>
      <c r="M123" s="129"/>
      <c r="N123" s="129"/>
    </row>
    <row r="124" spans="1:14" s="30" customFormat="1">
      <c r="A124" s="113"/>
      <c r="B124" s="104"/>
      <c r="C124" s="76"/>
      <c r="D124" s="129"/>
      <c r="E124" s="129"/>
      <c r="F124" s="129"/>
      <c r="G124" s="129"/>
      <c r="H124" s="129"/>
      <c r="I124" s="129"/>
      <c r="J124" s="129"/>
      <c r="K124" s="129"/>
      <c r="L124" s="129"/>
      <c r="M124" s="129"/>
      <c r="N124" s="129"/>
    </row>
    <row r="125" spans="1:14" s="30" customFormat="1">
      <c r="A125" s="113"/>
      <c r="B125" s="104"/>
      <c r="C125" s="76"/>
      <c r="D125" s="129"/>
      <c r="E125" s="129"/>
      <c r="F125" s="129"/>
      <c r="G125" s="129"/>
      <c r="H125" s="129"/>
      <c r="I125" s="129"/>
      <c r="J125" s="129"/>
      <c r="K125" s="129"/>
      <c r="L125" s="129"/>
      <c r="M125" s="129"/>
      <c r="N125" s="129"/>
    </row>
    <row r="126" spans="1:14" s="30" customFormat="1">
      <c r="A126" s="113"/>
      <c r="B126" s="104"/>
      <c r="C126" s="76"/>
      <c r="D126" s="129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</row>
    <row r="127" spans="1:14" s="30" customFormat="1">
      <c r="A127" s="113"/>
      <c r="B127" s="104"/>
      <c r="C127" s="76"/>
      <c r="D127" s="129"/>
      <c r="E127" s="129"/>
      <c r="F127" s="129"/>
      <c r="G127" s="129"/>
      <c r="H127" s="129"/>
      <c r="I127" s="129"/>
      <c r="J127" s="129"/>
      <c r="K127" s="129"/>
      <c r="L127" s="129"/>
      <c r="M127" s="129"/>
      <c r="N127" s="129"/>
    </row>
    <row r="128" spans="1:14" s="30" customFormat="1">
      <c r="A128" s="113"/>
      <c r="B128" s="104"/>
      <c r="C128" s="76"/>
      <c r="D128" s="129"/>
      <c r="E128" s="129"/>
      <c r="F128" s="129"/>
      <c r="G128" s="129"/>
      <c r="H128" s="129"/>
      <c r="I128" s="129"/>
      <c r="J128" s="129"/>
      <c r="K128" s="129"/>
      <c r="L128" s="129"/>
      <c r="M128" s="129"/>
      <c r="N128" s="129"/>
    </row>
    <row r="129" spans="1:14" s="30" customFormat="1">
      <c r="A129" s="113"/>
      <c r="B129" s="104"/>
      <c r="C129" s="76"/>
      <c r="D129" s="129"/>
      <c r="E129" s="129"/>
      <c r="F129" s="129"/>
      <c r="G129" s="129"/>
      <c r="H129" s="129"/>
      <c r="I129" s="129"/>
      <c r="J129" s="129"/>
      <c r="K129" s="129"/>
      <c r="L129" s="129"/>
      <c r="M129" s="129"/>
      <c r="N129" s="129"/>
    </row>
    <row r="130" spans="1:14" s="30" customFormat="1">
      <c r="A130" s="113"/>
      <c r="B130" s="104"/>
      <c r="C130" s="76"/>
      <c r="D130" s="129"/>
      <c r="E130" s="129"/>
      <c r="F130" s="129"/>
      <c r="G130" s="129"/>
      <c r="H130" s="129"/>
      <c r="I130" s="129"/>
      <c r="J130" s="129"/>
      <c r="K130" s="129"/>
      <c r="L130" s="129"/>
      <c r="M130" s="129"/>
      <c r="N130" s="129"/>
    </row>
    <row r="131" spans="1:14" s="30" customFormat="1">
      <c r="A131" s="113"/>
      <c r="B131" s="104"/>
      <c r="C131" s="76"/>
      <c r="D131" s="129"/>
      <c r="E131" s="129"/>
      <c r="F131" s="129"/>
      <c r="G131" s="129"/>
      <c r="H131" s="129"/>
      <c r="I131" s="129"/>
      <c r="J131" s="129"/>
      <c r="K131" s="129"/>
      <c r="L131" s="129"/>
      <c r="M131" s="129"/>
      <c r="N131" s="129"/>
    </row>
    <row r="132" spans="1:14" s="30" customFormat="1">
      <c r="A132" s="113"/>
      <c r="B132" s="104"/>
      <c r="C132" s="76"/>
      <c r="D132" s="129"/>
      <c r="E132" s="129"/>
      <c r="F132" s="129"/>
      <c r="G132" s="129"/>
      <c r="H132" s="129"/>
      <c r="I132" s="129"/>
      <c r="J132" s="129"/>
      <c r="K132" s="129"/>
      <c r="L132" s="129"/>
      <c r="M132" s="129"/>
      <c r="N132" s="129"/>
    </row>
    <row r="133" spans="1:14" s="30" customFormat="1">
      <c r="A133" s="113"/>
      <c r="B133" s="104"/>
      <c r="C133" s="76"/>
      <c r="D133" s="129"/>
      <c r="E133" s="129"/>
      <c r="F133" s="129"/>
      <c r="G133" s="129"/>
      <c r="H133" s="129"/>
      <c r="I133" s="129"/>
      <c r="J133" s="129"/>
      <c r="K133" s="129"/>
      <c r="L133" s="129"/>
      <c r="M133" s="129"/>
      <c r="N133" s="129"/>
    </row>
    <row r="134" spans="1:14" s="30" customFormat="1">
      <c r="A134" s="113"/>
      <c r="B134" s="104"/>
      <c r="C134" s="76"/>
      <c r="D134" s="129"/>
      <c r="E134" s="129"/>
      <c r="F134" s="129"/>
      <c r="G134" s="129"/>
      <c r="H134" s="129"/>
      <c r="I134" s="129"/>
      <c r="J134" s="129"/>
      <c r="K134" s="129"/>
      <c r="L134" s="129"/>
      <c r="M134" s="129"/>
      <c r="N134" s="129"/>
    </row>
    <row r="135" spans="1:14" s="30" customFormat="1">
      <c r="A135" s="113"/>
      <c r="B135" s="104"/>
      <c r="C135" s="76"/>
      <c r="D135" s="129"/>
      <c r="E135" s="129"/>
      <c r="F135" s="129"/>
      <c r="G135" s="129"/>
      <c r="H135" s="129"/>
      <c r="I135" s="129"/>
      <c r="J135" s="129"/>
      <c r="K135" s="129"/>
      <c r="L135" s="129"/>
      <c r="M135" s="129"/>
      <c r="N135" s="129"/>
    </row>
    <row r="136" spans="1:14" s="30" customFormat="1">
      <c r="A136" s="125"/>
      <c r="B136" s="126"/>
      <c r="C136" s="127"/>
      <c r="D136" s="128"/>
      <c r="E136" s="128"/>
      <c r="F136" s="128"/>
      <c r="G136" s="128"/>
      <c r="H136" s="128"/>
      <c r="I136" s="128"/>
      <c r="J136" s="128"/>
      <c r="K136" s="128"/>
      <c r="L136" s="128"/>
      <c r="M136" s="128"/>
      <c r="N136" s="128"/>
    </row>
    <row r="137" spans="1:14" s="30" customFormat="1">
      <c r="A137" s="113"/>
      <c r="B137" s="104"/>
      <c r="C137" s="76"/>
      <c r="D137" s="129"/>
      <c r="E137" s="129"/>
      <c r="F137" s="129"/>
      <c r="G137" s="129"/>
      <c r="H137" s="129"/>
      <c r="I137" s="129"/>
      <c r="J137" s="129"/>
      <c r="K137" s="129"/>
      <c r="L137" s="129"/>
      <c r="M137" s="129"/>
      <c r="N137" s="129"/>
    </row>
    <row r="138" spans="1:14" s="30" customFormat="1">
      <c r="A138" s="113"/>
      <c r="B138" s="104"/>
      <c r="C138" s="76"/>
      <c r="D138" s="129"/>
      <c r="E138" s="129"/>
      <c r="F138" s="129"/>
      <c r="G138" s="129"/>
      <c r="H138" s="129"/>
      <c r="I138" s="129"/>
      <c r="J138" s="129"/>
      <c r="K138" s="129"/>
      <c r="L138" s="129"/>
      <c r="M138" s="129"/>
      <c r="N138" s="129"/>
    </row>
    <row r="139" spans="1:14" s="30" customFormat="1">
      <c r="A139" s="113"/>
      <c r="B139" s="104"/>
      <c r="C139" s="76"/>
      <c r="D139" s="129"/>
      <c r="E139" s="129"/>
      <c r="F139" s="129"/>
      <c r="G139" s="129"/>
      <c r="H139" s="129"/>
      <c r="I139" s="129"/>
      <c r="J139" s="129"/>
      <c r="K139" s="129"/>
      <c r="L139" s="129"/>
      <c r="M139" s="129"/>
      <c r="N139" s="129"/>
    </row>
    <row r="140" spans="1:14" s="30" customFormat="1">
      <c r="A140" s="125"/>
      <c r="B140" s="126"/>
      <c r="C140" s="127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</row>
    <row r="141" spans="1:14" s="30" customFormat="1">
      <c r="A141" s="113"/>
      <c r="B141" s="104"/>
      <c r="C141" s="76"/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</row>
    <row r="142" spans="1:14" s="30" customFormat="1">
      <c r="A142" s="113"/>
      <c r="B142" s="104"/>
      <c r="C142" s="76"/>
      <c r="D142" s="129"/>
      <c r="E142" s="129"/>
      <c r="F142" s="129"/>
      <c r="G142" s="129"/>
      <c r="H142" s="129"/>
      <c r="I142" s="129"/>
      <c r="J142" s="129"/>
      <c r="K142" s="129"/>
      <c r="L142" s="129"/>
      <c r="M142" s="129"/>
      <c r="N142" s="129"/>
    </row>
    <row r="143" spans="1:14" s="30" customFormat="1">
      <c r="A143" s="113"/>
      <c r="B143" s="104"/>
      <c r="C143" s="76"/>
      <c r="D143" s="129"/>
      <c r="E143" s="129"/>
      <c r="F143" s="129"/>
      <c r="G143" s="129"/>
      <c r="H143" s="129"/>
      <c r="I143" s="129"/>
      <c r="J143" s="129"/>
      <c r="K143" s="129"/>
      <c r="L143" s="129"/>
      <c r="M143" s="129"/>
      <c r="N143" s="129"/>
    </row>
    <row r="144" spans="1:14" s="30" customFormat="1">
      <c r="A144" s="113"/>
      <c r="B144" s="104"/>
      <c r="C144" s="76"/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</row>
    <row r="145" spans="1:14" s="30" customFormat="1">
      <c r="A145" s="113"/>
      <c r="B145" s="104"/>
      <c r="C145" s="76"/>
      <c r="D145" s="129"/>
      <c r="E145" s="129"/>
      <c r="F145" s="129"/>
      <c r="G145" s="129"/>
      <c r="H145" s="129"/>
      <c r="I145" s="129"/>
      <c r="J145" s="129"/>
      <c r="K145" s="129"/>
      <c r="L145" s="129"/>
      <c r="M145" s="129"/>
      <c r="N145" s="129"/>
    </row>
    <row r="146" spans="1:14" s="30" customFormat="1">
      <c r="A146" s="113"/>
      <c r="B146" s="104"/>
      <c r="C146" s="76"/>
      <c r="D146" s="129"/>
      <c r="E146" s="129"/>
      <c r="F146" s="129"/>
      <c r="G146" s="129"/>
      <c r="H146" s="129"/>
      <c r="I146" s="129"/>
      <c r="J146" s="129"/>
      <c r="K146" s="129"/>
      <c r="L146" s="129"/>
      <c r="M146" s="129"/>
      <c r="N146" s="129"/>
    </row>
    <row r="147" spans="1:14" s="30" customFormat="1">
      <c r="A147" s="113"/>
      <c r="B147" s="104"/>
      <c r="C147" s="76"/>
      <c r="D147" s="129"/>
      <c r="E147" s="129"/>
      <c r="F147" s="129"/>
      <c r="G147" s="129"/>
      <c r="H147" s="129"/>
      <c r="I147" s="129"/>
      <c r="J147" s="129"/>
      <c r="K147" s="129"/>
      <c r="L147" s="129"/>
      <c r="M147" s="129"/>
      <c r="N147" s="129"/>
    </row>
    <row r="148" spans="1:14" s="30" customFormat="1">
      <c r="A148" s="113"/>
      <c r="B148" s="104"/>
      <c r="C148" s="76"/>
      <c r="D148" s="129"/>
      <c r="E148" s="129"/>
      <c r="F148" s="129"/>
      <c r="G148" s="129"/>
      <c r="H148" s="129"/>
      <c r="I148" s="129"/>
      <c r="J148" s="129"/>
      <c r="K148" s="129"/>
      <c r="L148" s="129"/>
      <c r="M148" s="129"/>
      <c r="N148" s="129"/>
    </row>
    <row r="149" spans="1:14" s="30" customFormat="1">
      <c r="A149" s="113"/>
      <c r="B149" s="104"/>
      <c r="C149" s="76"/>
      <c r="D149" s="129"/>
      <c r="E149" s="129"/>
      <c r="F149" s="129"/>
      <c r="G149" s="129"/>
      <c r="H149" s="129"/>
      <c r="I149" s="129"/>
      <c r="J149" s="129"/>
      <c r="K149" s="129"/>
      <c r="L149" s="129"/>
      <c r="M149" s="129"/>
      <c r="N149" s="129"/>
    </row>
    <row r="150" spans="1:14" s="30" customFormat="1">
      <c r="A150" s="113"/>
      <c r="B150" s="104"/>
      <c r="C150" s="76"/>
      <c r="D150" s="129"/>
      <c r="E150" s="129"/>
      <c r="F150" s="129"/>
      <c r="G150" s="129"/>
      <c r="H150" s="129"/>
      <c r="I150" s="129"/>
      <c r="J150" s="129"/>
      <c r="K150" s="129"/>
      <c r="L150" s="129"/>
      <c r="M150" s="129"/>
      <c r="N150" s="129"/>
    </row>
    <row r="151" spans="1:14" s="30" customFormat="1">
      <c r="A151" s="113"/>
      <c r="B151" s="104"/>
      <c r="C151" s="76"/>
      <c r="D151" s="129"/>
      <c r="E151" s="129"/>
      <c r="F151" s="129"/>
      <c r="G151" s="129"/>
      <c r="H151" s="129"/>
      <c r="I151" s="129"/>
      <c r="J151" s="129"/>
      <c r="K151" s="129"/>
      <c r="L151" s="129"/>
      <c r="M151" s="129"/>
      <c r="N151" s="129"/>
    </row>
    <row r="152" spans="1:14" s="30" customFormat="1">
      <c r="A152" s="113"/>
      <c r="B152" s="104"/>
      <c r="C152" s="76"/>
      <c r="D152" s="129"/>
      <c r="E152" s="129"/>
      <c r="F152" s="129"/>
      <c r="G152" s="129"/>
      <c r="H152" s="129"/>
      <c r="I152" s="129"/>
      <c r="J152" s="129"/>
      <c r="K152" s="129"/>
      <c r="L152" s="129"/>
      <c r="M152" s="129"/>
      <c r="N152" s="129"/>
    </row>
    <row r="153" spans="1:14" s="30" customFormat="1">
      <c r="A153" s="113"/>
      <c r="B153" s="104"/>
      <c r="C153" s="76"/>
      <c r="D153" s="129"/>
      <c r="E153" s="129"/>
      <c r="F153" s="129"/>
      <c r="G153" s="129"/>
      <c r="H153" s="129"/>
      <c r="I153" s="129"/>
      <c r="J153" s="129"/>
      <c r="K153" s="129"/>
      <c r="L153" s="129"/>
      <c r="M153" s="129"/>
      <c r="N153" s="129"/>
    </row>
    <row r="154" spans="1:14" s="30" customFormat="1">
      <c r="A154" s="113"/>
      <c r="B154" s="104"/>
      <c r="C154" s="76"/>
      <c r="D154" s="129"/>
      <c r="E154" s="129"/>
      <c r="F154" s="129"/>
      <c r="G154" s="129"/>
      <c r="H154" s="129"/>
      <c r="I154" s="129"/>
      <c r="J154" s="129"/>
      <c r="K154" s="129"/>
      <c r="L154" s="129"/>
      <c r="M154" s="129"/>
      <c r="N154" s="129"/>
    </row>
    <row r="155" spans="1:14" s="30" customFormat="1">
      <c r="A155" s="113"/>
      <c r="B155" s="104"/>
      <c r="C155" s="76"/>
      <c r="D155" s="129"/>
      <c r="E155" s="129"/>
      <c r="F155" s="129"/>
      <c r="G155" s="129"/>
      <c r="H155" s="129"/>
      <c r="I155" s="129"/>
      <c r="J155" s="129"/>
      <c r="K155" s="129"/>
      <c r="L155" s="129"/>
      <c r="M155" s="129"/>
      <c r="N155" s="129"/>
    </row>
    <row r="156" spans="1:14" s="30" customFormat="1">
      <c r="A156" s="113"/>
      <c r="B156" s="104"/>
      <c r="C156" s="76"/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</row>
    <row r="157" spans="1:14" s="30" customFormat="1">
      <c r="A157" s="113"/>
      <c r="B157" s="104"/>
      <c r="C157" s="76"/>
      <c r="D157" s="129"/>
      <c r="E157" s="129"/>
      <c r="F157" s="129"/>
      <c r="G157" s="129"/>
      <c r="H157" s="129"/>
      <c r="I157" s="129"/>
      <c r="J157" s="129"/>
      <c r="K157" s="129"/>
      <c r="L157" s="129"/>
      <c r="M157" s="129"/>
      <c r="N157" s="129"/>
    </row>
    <row r="158" spans="1:14" s="30" customFormat="1">
      <c r="A158" s="122"/>
      <c r="B158" s="124"/>
      <c r="C158" s="123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</row>
    <row r="159" spans="1:14" s="30" customFormat="1">
      <c r="A159" s="102"/>
      <c r="B159" s="103"/>
      <c r="C159" s="75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</row>
    <row r="160" spans="1:14" s="30" customFormat="1" hidden="1">
      <c r="A160" s="101"/>
      <c r="B160" s="103"/>
      <c r="C160" s="75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</row>
    <row r="161" spans="1:14" s="30" customFormat="1">
      <c r="A161" s="101"/>
      <c r="B161" s="103"/>
      <c r="C161" s="75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</row>
    <row r="162" spans="1:14" s="30" customFormat="1">
      <c r="A162" s="102"/>
      <c r="B162" s="103"/>
      <c r="C162" s="75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</row>
    <row r="163" spans="1:14" s="30" customFormat="1" hidden="1">
      <c r="A163" s="101"/>
      <c r="B163" s="103"/>
      <c r="C163" s="75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</row>
    <row r="164" spans="1:14" s="30" customFormat="1" hidden="1">
      <c r="A164" s="101"/>
      <c r="B164" s="103"/>
      <c r="C164" s="75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</row>
    <row r="165" spans="1:14" s="30" customFormat="1" hidden="1">
      <c r="A165" s="101"/>
      <c r="B165" s="103"/>
      <c r="C165" s="75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</row>
    <row r="166" spans="1:14" s="30" customFormat="1">
      <c r="A166" s="101"/>
      <c r="B166" s="103"/>
      <c r="C166" s="75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</row>
    <row r="167" spans="1:14" s="30" customFormat="1">
      <c r="A167" s="102"/>
      <c r="B167" s="103"/>
      <c r="C167" s="75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</row>
    <row r="168" spans="1:14" s="30" customFormat="1" hidden="1">
      <c r="A168" s="101"/>
      <c r="B168" s="103"/>
      <c r="C168" s="75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</row>
    <row r="169" spans="1:14" s="30" customFormat="1" hidden="1">
      <c r="A169" s="101"/>
      <c r="B169" s="103"/>
      <c r="C169" s="75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</row>
    <row r="170" spans="1:14" s="30" customFormat="1" hidden="1">
      <c r="A170" s="101"/>
      <c r="B170" s="103"/>
      <c r="C170" s="75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</row>
    <row r="171" spans="1:14" s="30" customFormat="1" hidden="1">
      <c r="A171" s="101"/>
      <c r="B171" s="103"/>
      <c r="C171" s="75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</row>
    <row r="172" spans="1:14" s="30" customFormat="1" hidden="1">
      <c r="A172" s="101"/>
      <c r="B172" s="103"/>
      <c r="C172" s="75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</row>
    <row r="173" spans="1:14" s="30" customFormat="1" hidden="1">
      <c r="A173" s="101"/>
      <c r="B173" s="103"/>
      <c r="C173" s="75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</row>
    <row r="174" spans="1:14" s="30" customFormat="1" hidden="1">
      <c r="A174" s="101"/>
      <c r="B174" s="103"/>
      <c r="C174" s="75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</row>
    <row r="175" spans="1:14" s="30" customFormat="1" hidden="1">
      <c r="A175" s="101"/>
      <c r="B175" s="103"/>
      <c r="C175" s="75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</row>
    <row r="176" spans="1:14" s="30" customFormat="1">
      <c r="A176" s="101"/>
      <c r="B176" s="103"/>
      <c r="C176" s="75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</row>
    <row r="177" spans="1:14" s="30" customFormat="1">
      <c r="A177" s="102"/>
      <c r="B177" s="103"/>
      <c r="C177" s="75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</row>
    <row r="178" spans="1:14" s="30" customFormat="1">
      <c r="A178" s="102"/>
      <c r="B178" s="103"/>
      <c r="C178" s="75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</row>
    <row r="179" spans="1:14" s="30" customFormat="1" hidden="1">
      <c r="A179" s="101"/>
      <c r="B179" s="103"/>
      <c r="C179" s="75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</row>
    <row r="180" spans="1:14" s="30" customFormat="1">
      <c r="A180" s="101"/>
      <c r="B180" s="103"/>
      <c r="C180" s="75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</row>
    <row r="181" spans="1:14" s="30" customFormat="1">
      <c r="A181" s="102"/>
      <c r="B181" s="103"/>
      <c r="C181" s="75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</row>
    <row r="182" spans="1:14" s="30" customFormat="1" hidden="1">
      <c r="A182" s="101"/>
      <c r="B182" s="103"/>
      <c r="C182" s="75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</row>
    <row r="183" spans="1:14" s="30" customFormat="1" hidden="1">
      <c r="A183" s="101"/>
      <c r="B183" s="103"/>
      <c r="C183" s="75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</row>
    <row r="184" spans="1:14" s="30" customFormat="1">
      <c r="A184" s="101"/>
      <c r="B184" s="103"/>
      <c r="C184" s="75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</row>
    <row r="185" spans="1:14" s="30" customFormat="1">
      <c r="A185" s="102"/>
      <c r="B185" s="103"/>
      <c r="C185" s="75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</row>
    <row r="186" spans="1:14" s="30" customFormat="1" hidden="1">
      <c r="A186" s="101"/>
      <c r="B186" s="103"/>
      <c r="C186" s="75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</row>
    <row r="187" spans="1:14" s="30" customFormat="1" hidden="1">
      <c r="A187" s="101"/>
      <c r="B187" s="103"/>
      <c r="C187" s="75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</row>
    <row r="188" spans="1:14" s="30" customFormat="1" hidden="1">
      <c r="A188" s="101"/>
      <c r="B188" s="103"/>
      <c r="C188" s="75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</row>
    <row r="189" spans="1:14" s="30" customFormat="1" hidden="1">
      <c r="A189" s="101"/>
      <c r="B189" s="103"/>
      <c r="C189" s="75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</row>
    <row r="190" spans="1:14" s="30" customFormat="1" hidden="1">
      <c r="A190" s="101"/>
      <c r="B190" s="103"/>
      <c r="C190" s="75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</row>
    <row r="191" spans="1:14" s="30" customFormat="1" hidden="1">
      <c r="A191" s="101"/>
      <c r="B191" s="103"/>
      <c r="C191" s="75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</row>
    <row r="192" spans="1:14" s="30" customFormat="1">
      <c r="A192" s="101"/>
      <c r="B192" s="103"/>
      <c r="C192" s="75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</row>
    <row r="193" spans="1:14" s="30" customFormat="1">
      <c r="A193" s="102"/>
      <c r="B193" s="103"/>
      <c r="C193" s="75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</row>
    <row r="194" spans="1:14" s="30" customFormat="1">
      <c r="A194" s="102"/>
      <c r="B194" s="103"/>
      <c r="C194" s="75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</row>
    <row r="195" spans="1:14" s="30" customFormat="1" hidden="1">
      <c r="A195" s="101"/>
      <c r="B195" s="103"/>
      <c r="C195" s="75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</row>
    <row r="196" spans="1:14" s="30" customFormat="1" hidden="1">
      <c r="A196" s="101"/>
      <c r="B196" s="103"/>
      <c r="C196" s="75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</row>
    <row r="197" spans="1:14" s="30" customFormat="1">
      <c r="A197" s="101"/>
      <c r="B197" s="103"/>
      <c r="C197" s="75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</row>
    <row r="198" spans="1:14" s="30" customFormat="1">
      <c r="A198" s="102"/>
      <c r="B198" s="103"/>
      <c r="C198" s="75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</row>
    <row r="199" spans="1:14" s="30" customFormat="1" hidden="1">
      <c r="A199" s="101"/>
      <c r="B199" s="103"/>
      <c r="C199" s="75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</row>
    <row r="200" spans="1:14" s="30" customFormat="1" hidden="1">
      <c r="A200" s="101"/>
      <c r="B200" s="103"/>
      <c r="C200" s="75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</row>
    <row r="201" spans="1:14" s="30" customFormat="1" hidden="1">
      <c r="A201" s="101"/>
      <c r="B201" s="103"/>
      <c r="C201" s="75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</row>
    <row r="202" spans="1:14" s="30" customFormat="1" hidden="1">
      <c r="A202" s="101"/>
      <c r="B202" s="103"/>
      <c r="C202" s="75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</row>
    <row r="203" spans="1:14" hidden="1">
      <c r="A203" s="45"/>
      <c r="B203" s="67"/>
      <c r="C203" s="46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</row>
    <row r="204" spans="1:14" hidden="1">
      <c r="A204" s="45"/>
      <c r="B204" s="67"/>
      <c r="C204" s="46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</row>
    <row r="205" spans="1:14" hidden="1">
      <c r="A205" s="45"/>
      <c r="B205" s="67"/>
      <c r="C205" s="46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</row>
    <row r="206" spans="1:14" hidden="1">
      <c r="A206" s="45"/>
      <c r="B206" s="67"/>
      <c r="C206" s="46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</row>
    <row r="207" spans="1:14" s="29" customFormat="1">
      <c r="A207" s="49"/>
      <c r="B207" s="69"/>
      <c r="C207" s="37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</row>
    <row r="208" spans="1:14" s="29" customFormat="1">
      <c r="A208" s="36"/>
      <c r="B208" s="69"/>
      <c r="C208" s="37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</row>
    <row r="209" spans="1:14" s="29" customFormat="1" hidden="1">
      <c r="A209" s="49"/>
      <c r="B209" s="69"/>
      <c r="C209" s="37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</row>
    <row r="210" spans="1:14" hidden="1">
      <c r="A210" s="45"/>
      <c r="B210" s="67"/>
      <c r="C210" s="46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</row>
    <row r="211" spans="1:14" hidden="1">
      <c r="A211" s="45"/>
      <c r="B211" s="67"/>
      <c r="C211" s="46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</row>
    <row r="212" spans="1:14" s="29" customFormat="1" hidden="1">
      <c r="A212" s="49"/>
      <c r="B212" s="69"/>
      <c r="C212" s="37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</row>
    <row r="213" spans="1:14" hidden="1">
      <c r="A213" s="45"/>
      <c r="B213" s="67"/>
      <c r="C213" s="46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</row>
    <row r="214" spans="1:14" hidden="1">
      <c r="A214" s="45"/>
      <c r="B214" s="67"/>
      <c r="C214" s="46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</row>
    <row r="215" spans="1:14" hidden="1">
      <c r="A215" s="45"/>
      <c r="B215" s="67"/>
      <c r="C215" s="46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</row>
    <row r="216" spans="1:14" s="29" customFormat="1">
      <c r="A216" s="49"/>
      <c r="B216" s="69"/>
      <c r="C216" s="37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</row>
    <row r="217" spans="1:14" s="29" customFormat="1">
      <c r="A217" s="36"/>
      <c r="B217" s="69"/>
      <c r="C217" s="37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</row>
    <row r="218" spans="1:14" s="29" customFormat="1">
      <c r="A218" s="36"/>
      <c r="B218" s="69"/>
      <c r="C218" s="37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</row>
    <row r="219" spans="1:14" hidden="1">
      <c r="A219" s="45"/>
      <c r="B219" s="67"/>
      <c r="C219" s="46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</row>
    <row r="220" spans="1:14" s="29" customFormat="1">
      <c r="A220" s="49"/>
      <c r="B220" s="69"/>
      <c r="C220" s="37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</row>
    <row r="221" spans="1:14" s="29" customFormat="1">
      <c r="A221" s="36"/>
      <c r="B221" s="69"/>
      <c r="C221" s="37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</row>
    <row r="222" spans="1:14" hidden="1">
      <c r="A222" s="45"/>
      <c r="B222" s="67"/>
      <c r="C222" s="46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</row>
    <row r="223" spans="1:14" hidden="1">
      <c r="A223" s="45"/>
      <c r="B223" s="67"/>
      <c r="C223" s="46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</row>
    <row r="224" spans="1:14" s="29" customFormat="1">
      <c r="A224" s="49"/>
      <c r="B224" s="69"/>
      <c r="C224" s="37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</row>
    <row r="225" spans="1:14" s="29" customFormat="1">
      <c r="A225" s="36"/>
      <c r="B225" s="69"/>
      <c r="C225" s="37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</row>
    <row r="226" spans="1:14" s="29" customFormat="1" hidden="1">
      <c r="A226" s="49"/>
      <c r="B226" s="69"/>
      <c r="C226" s="37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</row>
    <row r="227" spans="1:14" hidden="1">
      <c r="A227" s="45"/>
      <c r="B227" s="67"/>
      <c r="C227" s="46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</row>
    <row r="228" spans="1:14" hidden="1">
      <c r="A228" s="45"/>
      <c r="B228" s="67"/>
      <c r="C228" s="46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</row>
    <row r="229" spans="1:14" s="29" customFormat="1" hidden="1">
      <c r="A229" s="49"/>
      <c r="B229" s="69"/>
      <c r="C229" s="37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</row>
    <row r="230" spans="1:14" hidden="1">
      <c r="A230" s="45"/>
      <c r="B230" s="67"/>
      <c r="C230" s="46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</row>
    <row r="231" spans="1:14" hidden="1">
      <c r="A231" s="45"/>
      <c r="B231" s="67"/>
      <c r="C231" s="46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</row>
    <row r="232" spans="1:14" s="29" customFormat="1">
      <c r="A232" s="49"/>
      <c r="B232" s="69"/>
      <c r="C232" s="37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</row>
    <row r="233" spans="1:14" s="29" customFormat="1">
      <c r="A233" s="36"/>
      <c r="B233" s="69"/>
      <c r="C233" s="37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</row>
    <row r="234" spans="1:14" s="29" customFormat="1">
      <c r="A234" s="36"/>
      <c r="B234" s="69"/>
      <c r="C234" s="37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</row>
    <row r="235" spans="1:14" hidden="1">
      <c r="A235" s="45"/>
      <c r="B235" s="67"/>
      <c r="C235" s="46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</row>
    <row r="236" spans="1:14" s="29" customFormat="1">
      <c r="A236" s="49"/>
      <c r="B236" s="69"/>
      <c r="C236" s="37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</row>
    <row r="237" spans="1:14" s="29" customFormat="1">
      <c r="A237" s="36"/>
      <c r="B237" s="69"/>
      <c r="C237" s="37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</row>
    <row r="238" spans="1:14" s="29" customFormat="1">
      <c r="A238" s="36"/>
      <c r="B238" s="69"/>
      <c r="C238" s="37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</row>
    <row r="239" spans="1:14" s="29" customFormat="1">
      <c r="A239" s="36"/>
      <c r="B239" s="69"/>
      <c r="C239" s="37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</row>
    <row r="240" spans="1:14" s="29" customFormat="1">
      <c r="A240" s="49"/>
      <c r="B240" s="69"/>
      <c r="C240" s="37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</row>
    <row r="241" spans="1:14" s="29" customFormat="1">
      <c r="A241" s="36"/>
      <c r="B241" s="69"/>
      <c r="C241" s="37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</row>
    <row r="242" spans="1:14" s="29" customFormat="1">
      <c r="A242" s="36"/>
      <c r="B242" s="69"/>
      <c r="C242" s="37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</row>
    <row r="243" spans="1:14">
      <c r="A243" s="45"/>
      <c r="B243" s="67"/>
      <c r="C243" s="46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</row>
    <row r="244" spans="1:14" s="29" customFormat="1">
      <c r="A244" s="36"/>
      <c r="B244" s="69"/>
      <c r="C244" s="37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</row>
    <row r="245" spans="1:14">
      <c r="A245" s="45"/>
      <c r="B245" s="67"/>
      <c r="C245" s="46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</row>
    <row r="246" spans="1:14" s="29" customFormat="1">
      <c r="A246" s="36"/>
      <c r="B246" s="69"/>
      <c r="C246" s="37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</row>
    <row r="247" spans="1:14" s="29" customFormat="1">
      <c r="A247" s="36"/>
      <c r="B247" s="69"/>
      <c r="C247" s="37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</row>
    <row r="248" spans="1:14">
      <c r="A248" s="45"/>
      <c r="B248" s="67"/>
      <c r="C248" s="46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</row>
    <row r="249" spans="1:14" s="29" customFormat="1">
      <c r="A249" s="36"/>
      <c r="B249" s="69"/>
      <c r="C249" s="37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</row>
    <row r="250" spans="1:14">
      <c r="A250" s="45"/>
      <c r="B250" s="67"/>
      <c r="C250" s="46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</row>
    <row r="251" spans="1:14" s="29" customFormat="1">
      <c r="A251" s="36"/>
      <c r="B251" s="69"/>
      <c r="C251" s="37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</row>
    <row r="252" spans="1:14">
      <c r="A252" s="45"/>
      <c r="B252" s="67"/>
      <c r="C252" s="46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</row>
    <row r="253" spans="1:14" s="29" customFormat="1">
      <c r="A253" s="36"/>
      <c r="B253" s="69"/>
      <c r="C253" s="37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</row>
    <row r="254" spans="1:14" s="29" customFormat="1">
      <c r="A254" s="36"/>
      <c r="B254" s="69"/>
      <c r="C254" s="37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</row>
    <row r="255" spans="1:14" s="29" customFormat="1">
      <c r="A255" s="36"/>
      <c r="B255" s="69"/>
      <c r="C255" s="37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</row>
    <row r="256" spans="1:14" s="29" customFormat="1">
      <c r="A256" s="38"/>
      <c r="B256" s="70"/>
      <c r="C256" s="33"/>
      <c r="D256" s="35"/>
      <c r="E256" s="34"/>
      <c r="F256" s="34"/>
      <c r="G256" s="34"/>
      <c r="H256" s="34"/>
      <c r="I256" s="35"/>
      <c r="J256" s="35"/>
      <c r="K256" s="35"/>
      <c r="L256" s="35"/>
      <c r="M256" s="35"/>
      <c r="N256" s="35"/>
    </row>
    <row r="257" spans="1:14" s="29" customFormat="1">
      <c r="A257" s="38"/>
      <c r="B257" s="70"/>
      <c r="C257" s="33"/>
      <c r="D257" s="35"/>
      <c r="E257" s="34"/>
      <c r="F257" s="34"/>
      <c r="G257" s="34"/>
      <c r="H257" s="34"/>
      <c r="I257" s="35"/>
      <c r="J257" s="35"/>
      <c r="K257" s="35"/>
      <c r="L257" s="35"/>
      <c r="M257" s="35"/>
      <c r="N257" s="35"/>
    </row>
    <row r="258" spans="1:14" hidden="1">
      <c r="A258" s="50"/>
      <c r="B258" s="68"/>
      <c r="C258" s="51"/>
      <c r="D258" s="52"/>
      <c r="E258" s="52"/>
      <c r="F258" s="52"/>
      <c r="G258" s="52"/>
      <c r="H258" s="52"/>
      <c r="I258" s="47"/>
      <c r="J258" s="47"/>
      <c r="K258" s="47"/>
      <c r="L258" s="47"/>
      <c r="M258" s="47"/>
      <c r="N258" s="47"/>
    </row>
    <row r="259" spans="1:14" s="29" customFormat="1">
      <c r="A259" s="38"/>
      <c r="B259" s="70"/>
      <c r="C259" s="33"/>
      <c r="D259" s="35"/>
      <c r="E259" s="34"/>
      <c r="F259" s="34"/>
      <c r="G259" s="34"/>
      <c r="H259" s="34"/>
      <c r="I259" s="35"/>
      <c r="J259" s="35"/>
      <c r="K259" s="35"/>
      <c r="L259" s="35"/>
      <c r="M259" s="35"/>
      <c r="N259" s="35"/>
    </row>
    <row r="260" spans="1:14" s="29" customFormat="1">
      <c r="A260" s="38"/>
      <c r="B260" s="70"/>
      <c r="C260" s="33"/>
      <c r="D260" s="35"/>
      <c r="E260" s="34"/>
      <c r="F260" s="34"/>
      <c r="G260" s="34"/>
      <c r="H260" s="34"/>
      <c r="I260" s="35"/>
      <c r="J260" s="35"/>
      <c r="K260" s="35"/>
      <c r="L260" s="35"/>
      <c r="M260" s="35"/>
      <c r="N260" s="35"/>
    </row>
    <row r="261" spans="1:14" hidden="1">
      <c r="A261" s="50"/>
      <c r="B261" s="71"/>
      <c r="C261" s="54"/>
      <c r="D261" s="47"/>
      <c r="E261" s="52"/>
      <c r="F261" s="52"/>
      <c r="G261" s="47"/>
      <c r="H261" s="52"/>
      <c r="I261" s="47"/>
      <c r="J261" s="47"/>
      <c r="K261" s="47"/>
      <c r="L261" s="47"/>
      <c r="M261" s="47"/>
      <c r="N261" s="47"/>
    </row>
    <row r="262" spans="1:14" hidden="1">
      <c r="A262" s="50"/>
      <c r="B262" s="71"/>
      <c r="C262" s="54"/>
      <c r="D262" s="47"/>
      <c r="E262" s="52"/>
      <c r="F262" s="52"/>
      <c r="G262" s="47"/>
      <c r="H262" s="52"/>
      <c r="I262" s="47"/>
      <c r="J262" s="47"/>
      <c r="K262" s="47"/>
      <c r="L262" s="47"/>
      <c r="M262" s="47"/>
      <c r="N262" s="47"/>
    </row>
    <row r="263" spans="1:14" s="29" customFormat="1">
      <c r="A263" s="38"/>
      <c r="B263" s="70"/>
      <c r="C263" s="33"/>
      <c r="D263" s="35"/>
      <c r="E263" s="34"/>
      <c r="F263" s="34"/>
      <c r="G263" s="34"/>
      <c r="H263" s="34"/>
      <c r="I263" s="35"/>
      <c r="J263" s="35"/>
      <c r="K263" s="35"/>
      <c r="L263" s="35"/>
      <c r="M263" s="35"/>
      <c r="N263" s="35"/>
    </row>
    <row r="264" spans="1:14" s="29" customFormat="1">
      <c r="A264" s="38"/>
      <c r="B264" s="70"/>
      <c r="C264" s="33"/>
      <c r="D264" s="35"/>
      <c r="E264" s="34"/>
      <c r="F264" s="34"/>
      <c r="G264" s="34"/>
      <c r="H264" s="34"/>
      <c r="I264" s="35"/>
      <c r="J264" s="35"/>
      <c r="K264" s="35"/>
      <c r="L264" s="35"/>
      <c r="M264" s="35"/>
      <c r="N264" s="35"/>
    </row>
    <row r="265" spans="1:14" hidden="1">
      <c r="A265" s="50"/>
      <c r="B265" s="71"/>
      <c r="C265" s="54"/>
      <c r="D265" s="47"/>
      <c r="E265" s="52"/>
      <c r="F265" s="52"/>
      <c r="G265" s="47"/>
      <c r="H265" s="52"/>
      <c r="I265" s="47"/>
      <c r="J265" s="47"/>
      <c r="K265" s="47"/>
      <c r="L265" s="47"/>
      <c r="M265" s="47"/>
      <c r="N265" s="47"/>
    </row>
    <row r="266" spans="1:14" hidden="1">
      <c r="A266" s="50"/>
      <c r="B266" s="71"/>
      <c r="C266" s="54"/>
      <c r="D266" s="47"/>
      <c r="E266" s="52"/>
      <c r="F266" s="52"/>
      <c r="G266" s="52"/>
      <c r="H266" s="52"/>
      <c r="I266" s="47"/>
      <c r="J266" s="47"/>
      <c r="K266" s="47"/>
      <c r="L266" s="47"/>
      <c r="M266" s="47"/>
      <c r="N266" s="47"/>
    </row>
    <row r="267" spans="1:14" s="29" customFormat="1">
      <c r="A267" s="38"/>
      <c r="B267" s="70"/>
      <c r="C267" s="33"/>
      <c r="D267" s="35"/>
      <c r="E267" s="34"/>
      <c r="F267" s="34"/>
      <c r="G267" s="34"/>
      <c r="H267" s="34"/>
      <c r="I267" s="35"/>
      <c r="J267" s="35"/>
      <c r="K267" s="35"/>
      <c r="L267" s="35"/>
      <c r="M267" s="35"/>
      <c r="N267" s="35"/>
    </row>
    <row r="268" spans="1:14" s="29" customFormat="1">
      <c r="A268" s="38"/>
      <c r="B268" s="70"/>
      <c r="C268" s="33"/>
      <c r="D268" s="35"/>
      <c r="E268" s="34"/>
      <c r="F268" s="34"/>
      <c r="G268" s="34"/>
      <c r="H268" s="34"/>
      <c r="I268" s="35"/>
      <c r="J268" s="35"/>
      <c r="K268" s="35"/>
      <c r="L268" s="35"/>
      <c r="M268" s="35"/>
      <c r="N268" s="35"/>
    </row>
    <row r="269" spans="1:14" hidden="1">
      <c r="A269" s="50"/>
      <c r="B269" s="68"/>
      <c r="C269" s="51"/>
      <c r="D269" s="47"/>
      <c r="E269" s="52"/>
      <c r="F269" s="52"/>
      <c r="G269" s="47"/>
      <c r="H269" s="52"/>
      <c r="I269" s="47"/>
      <c r="J269" s="47"/>
      <c r="K269" s="47"/>
      <c r="L269" s="47"/>
      <c r="M269" s="47"/>
      <c r="N269" s="47"/>
    </row>
    <row r="270" spans="1:14" s="29" customFormat="1">
      <c r="A270" s="38"/>
      <c r="B270" s="70"/>
      <c r="C270" s="33"/>
      <c r="D270" s="35"/>
      <c r="E270" s="34"/>
      <c r="F270" s="34"/>
      <c r="G270" s="34"/>
      <c r="H270" s="34"/>
      <c r="I270" s="35"/>
      <c r="J270" s="35"/>
      <c r="K270" s="35"/>
      <c r="L270" s="35"/>
      <c r="M270" s="35"/>
      <c r="N270" s="35"/>
    </row>
    <row r="271" spans="1:14" s="29" customFormat="1">
      <c r="A271" s="38"/>
      <c r="B271" s="70"/>
      <c r="C271" s="33"/>
      <c r="D271" s="35"/>
      <c r="E271" s="34"/>
      <c r="F271" s="34"/>
      <c r="G271" s="34"/>
      <c r="H271" s="34"/>
      <c r="I271" s="35"/>
      <c r="J271" s="35"/>
      <c r="K271" s="35"/>
      <c r="L271" s="35"/>
      <c r="M271" s="35"/>
      <c r="N271" s="35"/>
    </row>
    <row r="272" spans="1:14" hidden="1">
      <c r="A272" s="50"/>
      <c r="B272" s="68"/>
      <c r="C272" s="51"/>
      <c r="D272" s="47"/>
      <c r="E272" s="52"/>
      <c r="F272" s="52"/>
      <c r="G272" s="47"/>
      <c r="H272" s="52"/>
      <c r="I272" s="47"/>
      <c r="J272" s="47"/>
      <c r="K272" s="47"/>
      <c r="L272" s="47"/>
      <c r="M272" s="47"/>
      <c r="N272" s="47"/>
    </row>
    <row r="273" spans="1:14" s="29" customFormat="1">
      <c r="A273" s="38"/>
      <c r="B273" s="70"/>
      <c r="C273" s="33"/>
      <c r="D273" s="35"/>
      <c r="E273" s="34"/>
      <c r="F273" s="34"/>
      <c r="G273" s="34"/>
      <c r="H273" s="34"/>
      <c r="I273" s="35"/>
      <c r="J273" s="35"/>
      <c r="K273" s="35"/>
      <c r="L273" s="35"/>
      <c r="M273" s="35"/>
      <c r="N273" s="35"/>
    </row>
    <row r="274" spans="1:14" s="29" customFormat="1">
      <c r="A274" s="38"/>
      <c r="B274" s="70"/>
      <c r="C274" s="33"/>
      <c r="D274" s="35"/>
      <c r="E274" s="34"/>
      <c r="F274" s="34"/>
      <c r="G274" s="34"/>
      <c r="H274" s="34"/>
      <c r="I274" s="35"/>
      <c r="J274" s="35"/>
      <c r="K274" s="35"/>
      <c r="L274" s="35"/>
      <c r="M274" s="35"/>
      <c r="N274" s="35"/>
    </row>
    <row r="275" spans="1:14" hidden="1">
      <c r="A275" s="50"/>
      <c r="B275" s="71"/>
      <c r="C275" s="51"/>
      <c r="D275" s="47"/>
      <c r="E275" s="52"/>
      <c r="F275" s="52"/>
      <c r="G275" s="47"/>
      <c r="H275" s="52"/>
      <c r="I275" s="47"/>
      <c r="J275" s="47"/>
      <c r="K275" s="47"/>
      <c r="L275" s="47"/>
      <c r="M275" s="47"/>
      <c r="N275" s="47"/>
    </row>
    <row r="276" spans="1:14" hidden="1">
      <c r="A276" s="50"/>
      <c r="B276" s="71"/>
      <c r="C276" s="51"/>
      <c r="D276" s="47"/>
      <c r="E276" s="52"/>
      <c r="F276" s="52"/>
      <c r="G276" s="52"/>
      <c r="H276" s="52"/>
      <c r="I276" s="47"/>
      <c r="J276" s="47"/>
      <c r="K276" s="47"/>
      <c r="L276" s="47"/>
      <c r="M276" s="47"/>
      <c r="N276" s="47"/>
    </row>
    <row r="277" spans="1:14" hidden="1">
      <c r="A277" s="50"/>
      <c r="B277" s="71"/>
      <c r="C277" s="51"/>
      <c r="D277" s="47"/>
      <c r="E277" s="52"/>
      <c r="F277" s="52"/>
      <c r="G277" s="47"/>
      <c r="H277" s="52"/>
      <c r="I277" s="47"/>
      <c r="J277" s="47"/>
      <c r="K277" s="47"/>
      <c r="L277" s="47"/>
      <c r="M277" s="47"/>
      <c r="N277" s="47"/>
    </row>
    <row r="278" spans="1:14" hidden="1">
      <c r="A278" s="50"/>
      <c r="B278" s="71"/>
      <c r="C278" s="51"/>
      <c r="D278" s="47"/>
      <c r="E278" s="52"/>
      <c r="F278" s="52"/>
      <c r="G278" s="52"/>
      <c r="H278" s="52"/>
      <c r="I278" s="47"/>
      <c r="J278" s="47"/>
      <c r="K278" s="47"/>
      <c r="L278" s="47"/>
      <c r="M278" s="47"/>
      <c r="N278" s="47"/>
    </row>
    <row r="279" spans="1:14" s="29" customFormat="1">
      <c r="A279" s="38"/>
      <c r="B279" s="70"/>
      <c r="C279" s="33"/>
      <c r="D279" s="35"/>
      <c r="E279" s="34"/>
      <c r="F279" s="34"/>
      <c r="G279" s="34"/>
      <c r="H279" s="34"/>
      <c r="I279" s="35"/>
      <c r="J279" s="35"/>
      <c r="K279" s="35"/>
      <c r="L279" s="35"/>
      <c r="M279" s="35"/>
      <c r="N279" s="35"/>
    </row>
    <row r="280" spans="1:14" s="29" customFormat="1">
      <c r="A280" s="38"/>
      <c r="B280" s="70"/>
      <c r="C280" s="33"/>
      <c r="D280" s="35"/>
      <c r="E280" s="34"/>
      <c r="F280" s="34"/>
      <c r="G280" s="34"/>
      <c r="H280" s="34"/>
      <c r="I280" s="35"/>
      <c r="J280" s="35"/>
      <c r="K280" s="35"/>
      <c r="L280" s="35"/>
      <c r="M280" s="35"/>
      <c r="N280" s="35"/>
    </row>
    <row r="281" spans="1:14" hidden="1">
      <c r="A281" s="50"/>
      <c r="B281" s="71"/>
      <c r="C281" s="51"/>
      <c r="D281" s="47"/>
      <c r="E281" s="52"/>
      <c r="F281" s="52"/>
      <c r="G281" s="47"/>
      <c r="H281" s="52"/>
      <c r="I281" s="47"/>
      <c r="J281" s="47"/>
      <c r="K281" s="47"/>
      <c r="L281" s="47"/>
      <c r="M281" s="47"/>
      <c r="N281" s="47"/>
    </row>
    <row r="282" spans="1:14" hidden="1">
      <c r="A282" s="50"/>
      <c r="B282" s="71"/>
      <c r="C282" s="51"/>
      <c r="D282" s="47"/>
      <c r="E282" s="52"/>
      <c r="F282" s="52"/>
      <c r="G282" s="52"/>
      <c r="H282" s="52"/>
      <c r="I282" s="47"/>
      <c r="J282" s="47"/>
      <c r="K282" s="47"/>
      <c r="L282" s="47"/>
      <c r="M282" s="47"/>
      <c r="N282" s="47"/>
    </row>
    <row r="283" spans="1:14" hidden="1">
      <c r="A283" s="50"/>
      <c r="B283" s="71"/>
      <c r="C283" s="51"/>
      <c r="D283" s="47"/>
      <c r="E283" s="52"/>
      <c r="F283" s="52"/>
      <c r="G283" s="47"/>
      <c r="H283" s="52"/>
      <c r="I283" s="47"/>
      <c r="J283" s="47"/>
      <c r="K283" s="47"/>
      <c r="L283" s="47"/>
      <c r="M283" s="47"/>
      <c r="N283" s="47"/>
    </row>
    <row r="284" spans="1:14" s="29" customFormat="1">
      <c r="A284" s="38"/>
      <c r="B284" s="72"/>
      <c r="C284" s="33"/>
      <c r="D284" s="35"/>
      <c r="E284" s="34"/>
      <c r="F284" s="34"/>
      <c r="G284" s="34"/>
      <c r="H284" s="34"/>
      <c r="I284" s="35"/>
      <c r="J284" s="35"/>
      <c r="K284" s="35"/>
      <c r="L284" s="35"/>
      <c r="M284" s="35"/>
      <c r="N284" s="35"/>
    </row>
    <row r="285" spans="1:14" s="29" customFormat="1">
      <c r="A285" s="38"/>
      <c r="B285" s="70"/>
      <c r="C285" s="33"/>
      <c r="D285" s="35"/>
      <c r="E285" s="34"/>
      <c r="F285" s="34"/>
      <c r="G285" s="34"/>
      <c r="H285" s="34"/>
      <c r="I285" s="35"/>
      <c r="J285" s="35"/>
      <c r="K285" s="35"/>
      <c r="L285" s="35"/>
      <c r="M285" s="35"/>
      <c r="N285" s="35"/>
    </row>
    <row r="286" spans="1:14" hidden="1">
      <c r="A286" s="50"/>
      <c r="B286" s="68"/>
      <c r="C286" s="51"/>
      <c r="D286" s="47"/>
      <c r="E286" s="52"/>
      <c r="F286" s="52"/>
      <c r="G286" s="47"/>
      <c r="H286" s="52"/>
      <c r="I286" s="47"/>
      <c r="J286" s="47"/>
      <c r="K286" s="47"/>
      <c r="L286" s="47"/>
      <c r="M286" s="47"/>
      <c r="N286" s="47"/>
    </row>
    <row r="287" spans="1:14" s="29" customFormat="1">
      <c r="A287" s="38"/>
      <c r="B287" s="70"/>
      <c r="C287" s="33"/>
      <c r="D287" s="35"/>
      <c r="E287" s="34"/>
      <c r="F287" s="34"/>
      <c r="G287" s="34"/>
      <c r="H287" s="34"/>
      <c r="I287" s="35"/>
      <c r="J287" s="35"/>
      <c r="K287" s="35"/>
      <c r="L287" s="35"/>
      <c r="M287" s="35"/>
      <c r="N287" s="35"/>
    </row>
    <row r="288" spans="1:14" s="29" customFormat="1">
      <c r="A288" s="38"/>
      <c r="B288" s="70"/>
      <c r="C288" s="33"/>
      <c r="D288" s="35"/>
      <c r="E288" s="34"/>
      <c r="F288" s="34"/>
      <c r="G288" s="34"/>
      <c r="H288" s="34"/>
      <c r="I288" s="35"/>
      <c r="J288" s="35"/>
      <c r="K288" s="35"/>
      <c r="L288" s="35"/>
      <c r="M288" s="35"/>
      <c r="N288" s="35"/>
    </row>
    <row r="289" spans="1:14" hidden="1">
      <c r="A289" s="50"/>
      <c r="B289" s="68"/>
      <c r="C289" s="51"/>
      <c r="D289" s="47"/>
      <c r="E289" s="52"/>
      <c r="F289" s="52"/>
      <c r="G289" s="47"/>
      <c r="H289" s="52"/>
      <c r="I289" s="47"/>
      <c r="J289" s="47"/>
      <c r="K289" s="47"/>
      <c r="L289" s="47"/>
      <c r="M289" s="47"/>
      <c r="N289" s="47"/>
    </row>
    <row r="290" spans="1:14" s="29" customFormat="1">
      <c r="A290" s="38"/>
      <c r="B290" s="70"/>
      <c r="C290" s="33"/>
      <c r="D290" s="35"/>
      <c r="E290" s="34"/>
      <c r="F290" s="34"/>
      <c r="G290" s="34"/>
      <c r="H290" s="34"/>
      <c r="I290" s="35"/>
      <c r="J290" s="35"/>
      <c r="K290" s="35"/>
      <c r="L290" s="35"/>
      <c r="M290" s="35"/>
      <c r="N290" s="35"/>
    </row>
    <row r="291" spans="1:14" s="29" customFormat="1">
      <c r="A291" s="38"/>
      <c r="B291" s="70"/>
      <c r="C291" s="33"/>
      <c r="D291" s="35"/>
      <c r="E291" s="34"/>
      <c r="F291" s="34"/>
      <c r="G291" s="34"/>
      <c r="H291" s="34"/>
      <c r="I291" s="35"/>
      <c r="J291" s="35"/>
      <c r="K291" s="35"/>
      <c r="L291" s="35"/>
      <c r="M291" s="35"/>
      <c r="N291" s="35"/>
    </row>
    <row r="292" spans="1:14" hidden="1">
      <c r="A292" s="50"/>
      <c r="B292" s="68"/>
      <c r="C292" s="51"/>
      <c r="D292" s="47"/>
      <c r="E292" s="52"/>
      <c r="F292" s="52"/>
      <c r="G292" s="47"/>
      <c r="H292" s="52"/>
      <c r="I292" s="47"/>
      <c r="J292" s="47"/>
      <c r="K292" s="47"/>
      <c r="L292" s="47"/>
      <c r="M292" s="47"/>
      <c r="N292" s="47"/>
    </row>
    <row r="293" spans="1:14" s="29" customFormat="1">
      <c r="A293" s="38"/>
      <c r="B293" s="70"/>
      <c r="C293" s="33"/>
      <c r="D293" s="35"/>
      <c r="E293" s="34"/>
      <c r="F293" s="34"/>
      <c r="G293" s="34"/>
      <c r="H293" s="34"/>
      <c r="I293" s="35"/>
      <c r="J293" s="35"/>
      <c r="K293" s="35"/>
      <c r="L293" s="35"/>
      <c r="M293" s="35"/>
      <c r="N293" s="35"/>
    </row>
    <row r="294" spans="1:14" s="29" customFormat="1">
      <c r="A294" s="38"/>
      <c r="B294" s="70"/>
      <c r="C294" s="33"/>
      <c r="D294" s="35"/>
      <c r="E294" s="34"/>
      <c r="F294" s="34"/>
      <c r="G294" s="34"/>
      <c r="H294" s="34"/>
      <c r="I294" s="35"/>
      <c r="J294" s="35"/>
      <c r="K294" s="35"/>
      <c r="L294" s="35"/>
      <c r="M294" s="35"/>
      <c r="N294" s="35"/>
    </row>
    <row r="295" spans="1:14" s="29" customFormat="1">
      <c r="A295" s="38"/>
      <c r="B295" s="70"/>
      <c r="C295" s="33"/>
      <c r="D295" s="35"/>
      <c r="E295" s="34"/>
      <c r="F295" s="34"/>
      <c r="G295" s="34"/>
      <c r="H295" s="34"/>
      <c r="I295" s="35"/>
      <c r="J295" s="35"/>
      <c r="K295" s="35"/>
      <c r="L295" s="35"/>
      <c r="M295" s="35"/>
      <c r="N295" s="35"/>
    </row>
    <row r="296" spans="1:14" hidden="1">
      <c r="A296" s="50"/>
      <c r="B296" s="68"/>
      <c r="C296" s="51"/>
      <c r="D296" s="52"/>
      <c r="E296" s="52"/>
      <c r="F296" s="52"/>
      <c r="G296" s="52"/>
      <c r="H296" s="52"/>
      <c r="I296" s="47"/>
      <c r="J296" s="47"/>
      <c r="K296" s="47"/>
      <c r="L296" s="47"/>
      <c r="M296" s="47"/>
      <c r="N296" s="47"/>
    </row>
    <row r="297" spans="1:14" s="29" customFormat="1">
      <c r="A297" s="38"/>
      <c r="B297" s="70"/>
      <c r="C297" s="33"/>
      <c r="D297" s="35"/>
      <c r="E297" s="34"/>
      <c r="F297" s="34"/>
      <c r="G297" s="34"/>
      <c r="H297" s="34"/>
      <c r="I297" s="35"/>
      <c r="J297" s="35"/>
      <c r="K297" s="35"/>
      <c r="L297" s="35"/>
      <c r="M297" s="35"/>
      <c r="N297" s="35"/>
    </row>
    <row r="298" spans="1:14" s="29" customFormat="1">
      <c r="A298" s="38"/>
      <c r="B298" s="70"/>
      <c r="C298" s="33"/>
      <c r="D298" s="35"/>
      <c r="E298" s="34"/>
      <c r="F298" s="34"/>
      <c r="G298" s="34"/>
      <c r="H298" s="34"/>
      <c r="I298" s="35"/>
      <c r="J298" s="35"/>
      <c r="K298" s="35"/>
      <c r="L298" s="35"/>
      <c r="M298" s="35"/>
      <c r="N298" s="35"/>
    </row>
    <row r="299" spans="1:14" hidden="1">
      <c r="A299" s="50"/>
      <c r="B299" s="68"/>
      <c r="C299" s="51"/>
      <c r="D299" s="52"/>
      <c r="E299" s="52"/>
      <c r="F299" s="52"/>
      <c r="G299" s="52"/>
      <c r="H299" s="52"/>
      <c r="I299" s="47"/>
      <c r="J299" s="47"/>
      <c r="K299" s="47"/>
      <c r="L299" s="47"/>
      <c r="M299" s="47"/>
      <c r="N299" s="47"/>
    </row>
    <row r="300" spans="1:14" hidden="1">
      <c r="A300" s="50"/>
      <c r="B300" s="68"/>
      <c r="C300" s="51"/>
      <c r="D300" s="52"/>
      <c r="E300" s="52"/>
      <c r="F300" s="52"/>
      <c r="G300" s="52"/>
      <c r="H300" s="52"/>
      <c r="I300" s="47"/>
      <c r="J300" s="47"/>
      <c r="K300" s="47"/>
      <c r="L300" s="47"/>
      <c r="M300" s="47"/>
      <c r="N300" s="47"/>
    </row>
    <row r="301" spans="1:14" hidden="1">
      <c r="A301" s="50"/>
      <c r="B301" s="68"/>
      <c r="C301" s="51"/>
      <c r="D301" s="52"/>
      <c r="E301" s="52"/>
      <c r="F301" s="52"/>
      <c r="G301" s="52"/>
      <c r="H301" s="52"/>
      <c r="I301" s="47"/>
      <c r="J301" s="47"/>
      <c r="K301" s="47"/>
      <c r="L301" s="47"/>
      <c r="M301" s="47"/>
      <c r="N301" s="47"/>
    </row>
    <row r="302" spans="1:14" s="29" customFormat="1">
      <c r="A302" s="38"/>
      <c r="B302" s="70"/>
      <c r="C302" s="33"/>
      <c r="D302" s="35"/>
      <c r="E302" s="34"/>
      <c r="F302" s="34"/>
      <c r="G302" s="34"/>
      <c r="H302" s="34"/>
      <c r="I302" s="35"/>
      <c r="J302" s="35"/>
      <c r="K302" s="35"/>
      <c r="L302" s="35"/>
      <c r="M302" s="35"/>
      <c r="N302" s="35"/>
    </row>
    <row r="303" spans="1:14" s="29" customFormat="1">
      <c r="A303" s="38"/>
      <c r="B303" s="70"/>
      <c r="C303" s="33"/>
      <c r="D303" s="35"/>
      <c r="E303" s="34"/>
      <c r="F303" s="34"/>
      <c r="G303" s="34"/>
      <c r="H303" s="34"/>
      <c r="I303" s="35"/>
      <c r="J303" s="35"/>
      <c r="K303" s="35"/>
      <c r="L303" s="35"/>
      <c r="M303" s="35"/>
      <c r="N303" s="35"/>
    </row>
    <row r="304" spans="1:14" hidden="1">
      <c r="A304" s="50"/>
      <c r="B304" s="68"/>
      <c r="C304" s="51"/>
      <c r="D304" s="47"/>
      <c r="E304" s="52"/>
      <c r="F304" s="52"/>
      <c r="G304" s="52"/>
      <c r="H304" s="52"/>
      <c r="I304" s="47"/>
      <c r="J304" s="47"/>
      <c r="K304" s="47"/>
      <c r="L304" s="47"/>
      <c r="M304" s="47"/>
      <c r="N304" s="47"/>
    </row>
    <row r="305" spans="1:14" hidden="1">
      <c r="A305" s="50"/>
      <c r="B305" s="68"/>
      <c r="C305" s="51"/>
      <c r="D305" s="47"/>
      <c r="E305" s="52"/>
      <c r="F305" s="52"/>
      <c r="G305" s="52"/>
      <c r="H305" s="52"/>
      <c r="I305" s="47"/>
      <c r="J305" s="47"/>
      <c r="K305" s="47"/>
      <c r="L305" s="47"/>
      <c r="M305" s="47"/>
      <c r="N305" s="47"/>
    </row>
    <row r="306" spans="1:14" s="29" customFormat="1">
      <c r="A306" s="38"/>
      <c r="B306" s="70"/>
      <c r="C306" s="33"/>
      <c r="D306" s="35"/>
      <c r="E306" s="34"/>
      <c r="F306" s="34"/>
      <c r="G306" s="34"/>
      <c r="H306" s="34"/>
      <c r="I306" s="35"/>
      <c r="J306" s="35"/>
      <c r="K306" s="35"/>
      <c r="L306" s="35"/>
      <c r="M306" s="35"/>
      <c r="N306" s="35"/>
    </row>
    <row r="307" spans="1:14" s="29" customFormat="1">
      <c r="A307" s="38"/>
      <c r="B307" s="70"/>
      <c r="C307" s="33"/>
      <c r="D307" s="35"/>
      <c r="E307" s="34"/>
      <c r="F307" s="34"/>
      <c r="G307" s="34"/>
      <c r="H307" s="34"/>
      <c r="I307" s="35"/>
      <c r="J307" s="35"/>
      <c r="K307" s="35"/>
      <c r="L307" s="35"/>
      <c r="M307" s="35"/>
      <c r="N307" s="35"/>
    </row>
    <row r="308" spans="1:14" hidden="1">
      <c r="A308" s="50"/>
      <c r="B308" s="68"/>
      <c r="C308" s="51"/>
      <c r="D308" s="47"/>
      <c r="E308" s="52"/>
      <c r="F308" s="52"/>
      <c r="G308" s="47"/>
      <c r="H308" s="52"/>
      <c r="I308" s="47"/>
      <c r="J308" s="47"/>
      <c r="K308" s="47"/>
      <c r="L308" s="47"/>
      <c r="M308" s="47"/>
      <c r="N308" s="47"/>
    </row>
    <row r="309" spans="1:14" s="29" customFormat="1" hidden="1">
      <c r="A309" s="38"/>
      <c r="B309" s="70"/>
      <c r="C309" s="33"/>
      <c r="D309" s="35"/>
      <c r="E309" s="34"/>
      <c r="F309" s="34"/>
      <c r="G309" s="34"/>
      <c r="H309" s="34"/>
      <c r="I309" s="35"/>
      <c r="J309" s="35"/>
      <c r="K309" s="35"/>
      <c r="L309" s="35"/>
      <c r="M309" s="35"/>
      <c r="N309" s="35"/>
    </row>
    <row r="310" spans="1:14" s="29" customFormat="1">
      <c r="A310" s="38"/>
      <c r="B310" s="70"/>
      <c r="C310" s="33"/>
      <c r="D310" s="35"/>
      <c r="E310" s="34"/>
      <c r="F310" s="34"/>
      <c r="G310" s="34"/>
      <c r="H310" s="34"/>
      <c r="I310" s="35"/>
      <c r="J310" s="35"/>
      <c r="K310" s="35"/>
      <c r="L310" s="35"/>
      <c r="M310" s="35"/>
      <c r="N310" s="35"/>
    </row>
    <row r="311" spans="1:14" s="29" customFormat="1">
      <c r="A311" s="38"/>
      <c r="B311" s="70"/>
      <c r="C311" s="33"/>
      <c r="D311" s="35"/>
      <c r="E311" s="34"/>
      <c r="F311" s="34"/>
      <c r="G311" s="34"/>
      <c r="H311" s="34"/>
      <c r="I311" s="35"/>
      <c r="J311" s="35"/>
      <c r="K311" s="35"/>
      <c r="L311" s="35"/>
      <c r="M311" s="35"/>
      <c r="N311" s="35"/>
    </row>
    <row r="312" spans="1:14" hidden="1">
      <c r="A312" s="50"/>
      <c r="B312" s="68"/>
      <c r="C312" s="51"/>
      <c r="D312" s="52"/>
      <c r="E312" s="52"/>
      <c r="F312" s="52"/>
      <c r="G312" s="52"/>
      <c r="H312" s="52"/>
      <c r="I312" s="47"/>
      <c r="J312" s="47"/>
      <c r="K312" s="47"/>
      <c r="L312" s="47"/>
      <c r="M312" s="47"/>
      <c r="N312" s="47"/>
    </row>
    <row r="313" spans="1:14" hidden="1">
      <c r="A313" s="50"/>
      <c r="B313" s="68"/>
      <c r="C313" s="51"/>
      <c r="D313" s="52"/>
      <c r="E313" s="52"/>
      <c r="F313" s="52"/>
      <c r="G313" s="52"/>
      <c r="H313" s="52"/>
      <c r="I313" s="47"/>
      <c r="J313" s="47"/>
      <c r="K313" s="47"/>
      <c r="L313" s="47"/>
      <c r="M313" s="47"/>
      <c r="N313" s="47"/>
    </row>
    <row r="314" spans="1:14" hidden="1">
      <c r="A314" s="50"/>
      <c r="B314" s="68"/>
      <c r="C314" s="51"/>
      <c r="D314" s="52"/>
      <c r="E314" s="52"/>
      <c r="F314" s="52"/>
      <c r="G314" s="52"/>
      <c r="H314" s="52"/>
      <c r="I314" s="47"/>
      <c r="J314" s="47"/>
      <c r="K314" s="47"/>
      <c r="L314" s="47"/>
      <c r="M314" s="47"/>
      <c r="N314" s="47"/>
    </row>
    <row r="315" spans="1:14" s="29" customFormat="1">
      <c r="A315" s="38"/>
      <c r="B315" s="70"/>
      <c r="C315" s="33"/>
      <c r="D315" s="35"/>
      <c r="E315" s="34"/>
      <c r="F315" s="34"/>
      <c r="G315" s="34"/>
      <c r="H315" s="34"/>
      <c r="I315" s="35"/>
      <c r="J315" s="35"/>
      <c r="K315" s="35"/>
      <c r="L315" s="35"/>
      <c r="M315" s="35"/>
      <c r="N315" s="35"/>
    </row>
    <row r="316" spans="1:14" s="29" customFormat="1">
      <c r="A316" s="38"/>
      <c r="B316" s="70"/>
      <c r="C316" s="33"/>
      <c r="D316" s="35"/>
      <c r="E316" s="34"/>
      <c r="F316" s="34"/>
      <c r="G316" s="34"/>
      <c r="H316" s="34"/>
      <c r="I316" s="35"/>
      <c r="J316" s="35"/>
      <c r="K316" s="35"/>
      <c r="L316" s="35"/>
      <c r="M316" s="35"/>
      <c r="N316" s="35"/>
    </row>
    <row r="317" spans="1:14" hidden="1">
      <c r="A317" s="50"/>
      <c r="B317" s="68"/>
      <c r="C317" s="51"/>
      <c r="D317" s="47"/>
      <c r="E317" s="52"/>
      <c r="F317" s="52"/>
      <c r="G317" s="52"/>
      <c r="H317" s="52"/>
      <c r="I317" s="47"/>
      <c r="J317" s="47"/>
      <c r="K317" s="47"/>
      <c r="L317" s="47"/>
      <c r="M317" s="47"/>
      <c r="N317" s="47"/>
    </row>
    <row r="318" spans="1:14" hidden="1">
      <c r="A318" s="50"/>
      <c r="B318" s="68"/>
      <c r="C318" s="51"/>
      <c r="D318" s="47"/>
      <c r="E318" s="52"/>
      <c r="F318" s="52"/>
      <c r="G318" s="52"/>
      <c r="H318" s="52"/>
      <c r="I318" s="47"/>
      <c r="J318" s="47"/>
      <c r="K318" s="47"/>
      <c r="L318" s="47"/>
      <c r="M318" s="47"/>
      <c r="N318" s="47"/>
    </row>
    <row r="319" spans="1:14" s="29" customFormat="1">
      <c r="A319" s="38"/>
      <c r="B319" s="70"/>
      <c r="C319" s="33"/>
      <c r="D319" s="35"/>
      <c r="E319" s="34"/>
      <c r="F319" s="34"/>
      <c r="G319" s="34"/>
      <c r="H319" s="34"/>
      <c r="I319" s="35"/>
      <c r="J319" s="35"/>
      <c r="K319" s="35"/>
      <c r="L319" s="35"/>
      <c r="M319" s="35"/>
      <c r="N319" s="35"/>
    </row>
    <row r="320" spans="1:14" s="29" customFormat="1">
      <c r="A320" s="38"/>
      <c r="B320" s="32"/>
      <c r="C320" s="33"/>
      <c r="D320" s="35"/>
      <c r="E320" s="34"/>
      <c r="F320" s="34"/>
      <c r="G320" s="34"/>
      <c r="H320" s="34"/>
      <c r="I320" s="35"/>
      <c r="J320" s="35"/>
      <c r="K320" s="35"/>
      <c r="L320" s="35"/>
      <c r="M320" s="35"/>
      <c r="N320" s="35"/>
    </row>
    <row r="321" spans="1:14" hidden="1">
      <c r="A321" s="50"/>
      <c r="B321" s="48"/>
      <c r="C321" s="51"/>
      <c r="D321" s="47"/>
      <c r="E321" s="52"/>
      <c r="F321" s="52"/>
      <c r="G321" s="52"/>
      <c r="H321" s="52"/>
      <c r="I321" s="47"/>
      <c r="J321" s="47"/>
      <c r="K321" s="47"/>
      <c r="L321" s="47"/>
      <c r="M321" s="47"/>
      <c r="N321" s="47"/>
    </row>
    <row r="322" spans="1:14" hidden="1">
      <c r="A322" s="50"/>
      <c r="B322" s="48"/>
      <c r="C322" s="51"/>
      <c r="D322" s="47"/>
      <c r="E322" s="52"/>
      <c r="F322" s="52"/>
      <c r="G322" s="52"/>
      <c r="H322" s="52"/>
      <c r="I322" s="47"/>
      <c r="J322" s="47"/>
      <c r="K322" s="47"/>
      <c r="L322" s="47"/>
      <c r="M322" s="47"/>
      <c r="N322" s="47"/>
    </row>
    <row r="323" spans="1:14" s="29" customFormat="1">
      <c r="A323" s="38"/>
      <c r="B323" s="53"/>
      <c r="C323" s="33"/>
      <c r="D323" s="35"/>
      <c r="E323" s="34"/>
      <c r="F323" s="34"/>
      <c r="G323" s="34"/>
      <c r="H323" s="34"/>
      <c r="I323" s="35"/>
      <c r="J323" s="35"/>
      <c r="K323" s="35"/>
      <c r="L323" s="35"/>
      <c r="M323" s="35"/>
      <c r="N323" s="35"/>
    </row>
    <row r="324" spans="1:14" s="55" customFormat="1" ht="13.5">
      <c r="A324" s="56"/>
      <c r="B324" s="57"/>
      <c r="C324" s="58"/>
      <c r="D324" s="137"/>
      <c r="E324" s="59"/>
      <c r="F324" s="59"/>
      <c r="G324" s="59"/>
      <c r="H324" s="59"/>
      <c r="I324" s="60"/>
      <c r="J324" s="60"/>
      <c r="K324" s="60"/>
      <c r="L324" s="60"/>
      <c r="M324" s="60"/>
      <c r="N324" s="60"/>
    </row>
    <row r="325" spans="1:14" s="29" customFormat="1">
      <c r="A325" s="31"/>
      <c r="B325" s="32"/>
      <c r="C325" s="33"/>
      <c r="D325" s="138"/>
      <c r="E325" s="34"/>
      <c r="F325" s="34"/>
      <c r="G325" s="34"/>
      <c r="H325" s="34"/>
      <c r="I325" s="35"/>
      <c r="J325" s="35"/>
      <c r="K325" s="35"/>
      <c r="L325" s="35"/>
      <c r="M325" s="35"/>
      <c r="N325" s="35"/>
    </row>
    <row r="326" spans="1:14" hidden="1">
      <c r="A326" s="61"/>
      <c r="B326" s="48"/>
      <c r="C326" s="51"/>
      <c r="D326" s="139"/>
      <c r="E326" s="52"/>
      <c r="F326" s="52"/>
      <c r="G326" s="52"/>
      <c r="H326" s="47"/>
      <c r="I326" s="47"/>
      <c r="J326" s="47"/>
      <c r="K326" s="47"/>
      <c r="L326" s="47"/>
      <c r="M326" s="47"/>
      <c r="N326" s="47"/>
    </row>
    <row r="327" spans="1:14" hidden="1">
      <c r="A327" s="61"/>
      <c r="B327" s="48"/>
      <c r="C327" s="51"/>
      <c r="D327" s="139"/>
      <c r="E327" s="52"/>
      <c r="F327" s="52"/>
      <c r="G327" s="52"/>
      <c r="H327" s="47"/>
      <c r="I327" s="47"/>
      <c r="J327" s="47"/>
      <c r="K327" s="47"/>
      <c r="L327" s="47"/>
      <c r="M327" s="47"/>
      <c r="N327" s="47"/>
    </row>
    <row r="328" spans="1:14" hidden="1">
      <c r="A328" s="61"/>
      <c r="B328" s="48"/>
      <c r="C328" s="51"/>
      <c r="D328" s="139"/>
      <c r="E328" s="52"/>
      <c r="F328" s="52"/>
      <c r="G328" s="52"/>
      <c r="H328" s="47"/>
      <c r="I328" s="47"/>
      <c r="J328" s="47"/>
      <c r="K328" s="47"/>
      <c r="L328" s="47"/>
      <c r="M328" s="47"/>
      <c r="N328" s="47"/>
    </row>
    <row r="329" spans="1:14" hidden="1">
      <c r="A329" s="61"/>
      <c r="B329" s="48"/>
      <c r="C329" s="51"/>
      <c r="D329" s="139"/>
      <c r="E329" s="52"/>
      <c r="F329" s="52"/>
      <c r="G329" s="52"/>
      <c r="H329" s="47"/>
      <c r="I329" s="47"/>
      <c r="J329" s="47"/>
      <c r="K329" s="47"/>
      <c r="L329" s="47"/>
      <c r="M329" s="47"/>
      <c r="N329" s="47"/>
    </row>
    <row r="330" spans="1:14" s="29" customFormat="1">
      <c r="A330" s="62"/>
      <c r="B330" s="53"/>
      <c r="C330" s="33"/>
      <c r="D330" s="138"/>
      <c r="E330" s="34"/>
      <c r="F330" s="34"/>
      <c r="G330" s="34"/>
      <c r="H330" s="35"/>
      <c r="I330" s="35"/>
      <c r="J330" s="35"/>
      <c r="K330" s="35"/>
      <c r="L330" s="35"/>
      <c r="M330" s="35"/>
      <c r="N330" s="35"/>
    </row>
    <row r="331" spans="1:14" s="55" customFormat="1" ht="13.5">
      <c r="A331" s="56"/>
      <c r="B331" s="57"/>
      <c r="C331" s="58"/>
      <c r="D331" s="137"/>
      <c r="E331" s="59"/>
      <c r="F331" s="59"/>
      <c r="G331" s="59"/>
      <c r="H331" s="60"/>
      <c r="I331" s="60"/>
      <c r="J331" s="60"/>
      <c r="K331" s="60"/>
      <c r="L331" s="60"/>
      <c r="M331" s="60"/>
      <c r="N331" s="60"/>
    </row>
    <row r="332" spans="1:14" s="29" customFormat="1">
      <c r="A332" s="31"/>
      <c r="B332" s="32"/>
      <c r="C332" s="33"/>
      <c r="D332" s="138"/>
      <c r="E332" s="34"/>
      <c r="F332" s="34"/>
      <c r="G332" s="34"/>
      <c r="H332" s="35"/>
      <c r="I332" s="35"/>
      <c r="J332" s="35"/>
      <c r="K332" s="35"/>
      <c r="L332" s="35"/>
      <c r="M332" s="35"/>
      <c r="N332" s="35"/>
    </row>
    <row r="333" spans="1:14" hidden="1">
      <c r="A333" s="61"/>
      <c r="B333" s="48"/>
      <c r="C333" s="51"/>
      <c r="D333" s="139"/>
      <c r="E333" s="52"/>
      <c r="F333" s="52"/>
      <c r="G333" s="52"/>
      <c r="H333" s="47"/>
      <c r="I333" s="47"/>
      <c r="J333" s="47"/>
      <c r="K333" s="47"/>
      <c r="L333" s="47"/>
      <c r="M333" s="47"/>
      <c r="N333" s="47"/>
    </row>
    <row r="334" spans="1:14" hidden="1">
      <c r="A334" s="61"/>
      <c r="B334" s="48"/>
      <c r="C334" s="51"/>
      <c r="D334" s="139"/>
      <c r="E334" s="52"/>
      <c r="F334" s="52"/>
      <c r="G334" s="52"/>
      <c r="H334" s="47"/>
      <c r="I334" s="47"/>
      <c r="J334" s="47"/>
      <c r="K334" s="47"/>
      <c r="L334" s="47"/>
      <c r="M334" s="47"/>
      <c r="N334" s="47"/>
    </row>
    <row r="335" spans="1:14" hidden="1">
      <c r="A335" s="61"/>
      <c r="B335" s="48"/>
      <c r="C335" s="51"/>
      <c r="D335" s="139"/>
      <c r="E335" s="52"/>
      <c r="F335" s="52"/>
      <c r="G335" s="52"/>
      <c r="H335" s="47"/>
      <c r="I335" s="47"/>
      <c r="J335" s="47"/>
      <c r="K335" s="47"/>
      <c r="L335" s="47"/>
      <c r="M335" s="47"/>
      <c r="N335" s="47"/>
    </row>
    <row r="336" spans="1:14" hidden="1">
      <c r="A336" s="61"/>
      <c r="B336" s="48"/>
      <c r="C336" s="51"/>
      <c r="D336" s="139"/>
      <c r="E336" s="52"/>
      <c r="F336" s="52"/>
      <c r="G336" s="52"/>
      <c r="H336" s="47"/>
      <c r="I336" s="47"/>
      <c r="J336" s="47"/>
      <c r="K336" s="47"/>
      <c r="L336" s="47"/>
      <c r="M336" s="47"/>
      <c r="N336" s="47"/>
    </row>
    <row r="337" spans="1:14" s="29" customFormat="1">
      <c r="A337" s="62"/>
      <c r="B337" s="53"/>
      <c r="C337" s="33"/>
      <c r="D337" s="138"/>
      <c r="E337" s="34"/>
      <c r="F337" s="34"/>
      <c r="G337" s="34"/>
      <c r="H337" s="35"/>
      <c r="I337" s="35"/>
      <c r="J337" s="35"/>
      <c r="K337" s="35"/>
      <c r="L337" s="35"/>
      <c r="M337" s="35"/>
      <c r="N337" s="35"/>
    </row>
    <row r="338" spans="1:14" s="29" customFormat="1">
      <c r="A338" s="31"/>
      <c r="B338" s="32"/>
      <c r="C338" s="33"/>
      <c r="D338" s="138"/>
      <c r="E338" s="34"/>
      <c r="F338" s="34"/>
      <c r="G338" s="34"/>
      <c r="H338" s="35"/>
      <c r="I338" s="35"/>
      <c r="J338" s="35"/>
      <c r="K338" s="35"/>
      <c r="L338" s="35"/>
      <c r="M338" s="35"/>
      <c r="N338" s="35"/>
    </row>
    <row r="339" spans="1:14" hidden="1">
      <c r="A339" s="61"/>
      <c r="B339" s="48"/>
      <c r="C339" s="51"/>
      <c r="D339" s="139"/>
      <c r="E339" s="52"/>
      <c r="F339" s="52"/>
      <c r="G339" s="52"/>
      <c r="H339" s="47"/>
      <c r="I339" s="47"/>
      <c r="J339" s="47"/>
      <c r="K339" s="47"/>
      <c r="L339" s="47"/>
      <c r="M339" s="47"/>
      <c r="N339" s="47"/>
    </row>
    <row r="340" spans="1:14" hidden="1">
      <c r="A340" s="61"/>
      <c r="B340" s="48"/>
      <c r="C340" s="51"/>
      <c r="D340" s="139"/>
      <c r="E340" s="52"/>
      <c r="F340" s="52"/>
      <c r="G340" s="52"/>
      <c r="H340" s="47"/>
      <c r="I340" s="47"/>
      <c r="J340" s="47"/>
      <c r="K340" s="47"/>
      <c r="L340" s="47"/>
      <c r="M340" s="47"/>
      <c r="N340" s="47"/>
    </row>
    <row r="341" spans="1:14" hidden="1">
      <c r="A341" s="61"/>
      <c r="B341" s="48"/>
      <c r="C341" s="51"/>
      <c r="D341" s="139"/>
      <c r="E341" s="52"/>
      <c r="F341" s="52"/>
      <c r="G341" s="52"/>
      <c r="H341" s="47"/>
      <c r="I341" s="47"/>
      <c r="J341" s="47"/>
      <c r="K341" s="47"/>
      <c r="L341" s="47"/>
      <c r="M341" s="47"/>
      <c r="N341" s="47"/>
    </row>
    <row r="342" spans="1:14" hidden="1">
      <c r="A342" s="61"/>
      <c r="B342" s="48"/>
      <c r="C342" s="51"/>
      <c r="D342" s="139"/>
      <c r="E342" s="52"/>
      <c r="F342" s="52"/>
      <c r="G342" s="52"/>
      <c r="H342" s="47"/>
      <c r="I342" s="47"/>
      <c r="J342" s="47"/>
      <c r="K342" s="47"/>
      <c r="L342" s="47"/>
      <c r="M342" s="47"/>
      <c r="N342" s="47"/>
    </row>
    <row r="343" spans="1:14" s="29" customFormat="1">
      <c r="A343" s="62"/>
      <c r="B343" s="53"/>
      <c r="C343" s="33"/>
      <c r="D343" s="138"/>
      <c r="E343" s="34"/>
      <c r="F343" s="34"/>
      <c r="G343" s="34"/>
      <c r="H343" s="35"/>
      <c r="I343" s="35"/>
      <c r="J343" s="35"/>
      <c r="K343" s="35"/>
      <c r="L343" s="35"/>
      <c r="M343" s="35"/>
      <c r="N343" s="35"/>
    </row>
    <row r="344" spans="1:14" s="29" customFormat="1">
      <c r="A344" s="31"/>
      <c r="B344" s="32"/>
      <c r="C344" s="33"/>
      <c r="D344" s="138"/>
      <c r="E344" s="34"/>
      <c r="F344" s="34"/>
      <c r="G344" s="34"/>
      <c r="H344" s="35"/>
      <c r="I344" s="35"/>
      <c r="J344" s="35"/>
      <c r="K344" s="35"/>
      <c r="L344" s="35"/>
      <c r="M344" s="35"/>
      <c r="N344" s="35"/>
    </row>
    <row r="345" spans="1:14" hidden="1">
      <c r="A345" s="61"/>
      <c r="B345" s="48"/>
      <c r="C345" s="51"/>
      <c r="D345" s="139"/>
      <c r="E345" s="52"/>
      <c r="F345" s="52"/>
      <c r="G345" s="52"/>
      <c r="H345" s="47"/>
      <c r="I345" s="47"/>
      <c r="J345" s="47"/>
      <c r="K345" s="47"/>
      <c r="L345" s="47"/>
      <c r="M345" s="47"/>
      <c r="N345" s="47"/>
    </row>
    <row r="346" spans="1:14" hidden="1">
      <c r="A346" s="61"/>
      <c r="B346" s="48"/>
      <c r="C346" s="51"/>
      <c r="D346" s="139"/>
      <c r="E346" s="52"/>
      <c r="F346" s="52"/>
      <c r="G346" s="52"/>
      <c r="H346" s="47"/>
      <c r="I346" s="47"/>
      <c r="J346" s="47"/>
      <c r="K346" s="47"/>
      <c r="L346" s="47"/>
      <c r="M346" s="47"/>
      <c r="N346" s="47"/>
    </row>
    <row r="347" spans="1:14" hidden="1">
      <c r="A347" s="61"/>
      <c r="B347" s="48"/>
      <c r="C347" s="51"/>
      <c r="D347" s="139"/>
      <c r="E347" s="52"/>
      <c r="F347" s="52"/>
      <c r="G347" s="52"/>
      <c r="H347" s="47"/>
      <c r="I347" s="47"/>
      <c r="J347" s="47"/>
      <c r="K347" s="47"/>
      <c r="L347" s="47"/>
      <c r="M347" s="47"/>
      <c r="N347" s="47"/>
    </row>
    <row r="348" spans="1:14" hidden="1">
      <c r="A348" s="61"/>
      <c r="B348" s="48"/>
      <c r="C348" s="51"/>
      <c r="D348" s="139"/>
      <c r="E348" s="52"/>
      <c r="F348" s="52"/>
      <c r="G348" s="52"/>
      <c r="H348" s="47"/>
      <c r="I348" s="47"/>
      <c r="J348" s="47"/>
      <c r="K348" s="47"/>
      <c r="L348" s="47"/>
      <c r="M348" s="47"/>
      <c r="N348" s="47"/>
    </row>
    <row r="349" spans="1:14" s="29" customFormat="1">
      <c r="A349" s="62"/>
      <c r="B349" s="53"/>
      <c r="C349" s="33"/>
      <c r="D349" s="138"/>
      <c r="E349" s="34"/>
      <c r="F349" s="34"/>
      <c r="G349" s="34"/>
      <c r="H349" s="35"/>
      <c r="I349" s="35"/>
      <c r="J349" s="35"/>
      <c r="K349" s="35"/>
      <c r="L349" s="35"/>
      <c r="M349" s="35"/>
      <c r="N349" s="35"/>
    </row>
    <row r="350" spans="1:14" s="55" customFormat="1" ht="13.5">
      <c r="A350" s="56"/>
      <c r="B350" s="57"/>
      <c r="C350" s="58"/>
      <c r="D350" s="137"/>
      <c r="E350" s="59"/>
      <c r="F350" s="59"/>
      <c r="G350" s="59"/>
      <c r="H350" s="60"/>
      <c r="I350" s="60"/>
      <c r="J350" s="60"/>
      <c r="K350" s="60"/>
      <c r="L350" s="60"/>
      <c r="M350" s="60"/>
      <c r="N350" s="60"/>
    </row>
    <row r="351" spans="1:14" s="29" customFormat="1">
      <c r="A351" s="31"/>
      <c r="B351" s="32"/>
      <c r="C351" s="33"/>
      <c r="D351" s="138"/>
      <c r="E351" s="34"/>
      <c r="F351" s="34"/>
      <c r="G351" s="34"/>
      <c r="H351" s="35"/>
      <c r="I351" s="35"/>
      <c r="J351" s="35"/>
      <c r="K351" s="35"/>
      <c r="L351" s="35"/>
      <c r="M351" s="35"/>
      <c r="N351" s="35"/>
    </row>
    <row r="352" spans="1:14" s="55" customFormat="1" ht="13.5">
      <c r="A352" s="56"/>
      <c r="B352" s="57"/>
      <c r="C352" s="58"/>
      <c r="D352" s="137"/>
      <c r="E352" s="59"/>
      <c r="F352" s="59"/>
      <c r="G352" s="59"/>
      <c r="H352" s="60"/>
      <c r="I352" s="60"/>
      <c r="J352" s="60"/>
      <c r="K352" s="60"/>
      <c r="L352" s="60"/>
      <c r="M352" s="60"/>
      <c r="N352" s="60"/>
    </row>
    <row r="353" spans="1:14" s="29" customFormat="1">
      <c r="A353" s="31"/>
      <c r="B353" s="32"/>
      <c r="C353" s="33"/>
      <c r="D353" s="138"/>
      <c r="E353" s="34"/>
      <c r="F353" s="34"/>
      <c r="G353" s="34"/>
      <c r="H353" s="35"/>
      <c r="I353" s="35"/>
      <c r="J353" s="35"/>
      <c r="K353" s="35"/>
      <c r="L353" s="35"/>
      <c r="M353" s="35"/>
      <c r="N353" s="35"/>
    </row>
    <row r="354" spans="1:14">
      <c r="A354" s="38"/>
      <c r="B354" s="63"/>
      <c r="C354" s="33"/>
      <c r="D354" s="35"/>
      <c r="E354" s="34"/>
      <c r="F354" s="34"/>
      <c r="G354" s="34"/>
      <c r="H354" s="34"/>
      <c r="I354" s="35"/>
      <c r="J354" s="35"/>
      <c r="K354" s="35"/>
      <c r="L354" s="35"/>
      <c r="M354" s="35"/>
      <c r="N354" s="35"/>
    </row>
  </sheetData>
  <mergeCells count="11">
    <mergeCell ref="O9:O10"/>
    <mergeCell ref="A1:N1"/>
    <mergeCell ref="B3:N3"/>
    <mergeCell ref="A9:A10"/>
    <mergeCell ref="B9:B10"/>
    <mergeCell ref="C9:C10"/>
    <mergeCell ref="D9:D10"/>
    <mergeCell ref="E9:G9"/>
    <mergeCell ref="H9:H10"/>
    <mergeCell ref="I9:M9"/>
    <mergeCell ref="N9:N1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E22"/>
  <sheetViews>
    <sheetView workbookViewId="0">
      <selection activeCell="G14" sqref="G14"/>
    </sheetView>
  </sheetViews>
  <sheetFormatPr defaultColWidth="11.42578125" defaultRowHeight="12.75"/>
  <cols>
    <col min="2" max="2" width="18.28515625" customWidth="1"/>
  </cols>
  <sheetData>
    <row r="1" spans="1:5">
      <c r="A1" t="s">
        <v>75</v>
      </c>
      <c r="B1" t="s">
        <v>76</v>
      </c>
      <c r="C1" t="s">
        <v>77</v>
      </c>
      <c r="D1" t="s">
        <v>78</v>
      </c>
      <c r="E1" t="s">
        <v>79</v>
      </c>
    </row>
    <row r="2" spans="1:5" s="17" customFormat="1">
      <c r="A2" s="17">
        <v>1</v>
      </c>
      <c r="B2" s="17" t="s">
        <v>82</v>
      </c>
      <c r="C2" s="17">
        <v>1</v>
      </c>
    </row>
    <row r="3" spans="1:5">
      <c r="A3">
        <v>2</v>
      </c>
      <c r="B3" s="5" t="s">
        <v>156</v>
      </c>
      <c r="C3" s="5" t="s">
        <v>81</v>
      </c>
      <c r="D3" s="5"/>
      <c r="E3" s="5"/>
    </row>
    <row r="4" spans="1:5">
      <c r="A4" s="17">
        <v>2</v>
      </c>
      <c r="B4" s="17" t="s">
        <v>102</v>
      </c>
      <c r="C4" s="17">
        <v>2</v>
      </c>
      <c r="D4" s="5"/>
    </row>
    <row r="5" spans="1:5">
      <c r="A5">
        <v>3</v>
      </c>
      <c r="B5" s="5" t="s">
        <v>103</v>
      </c>
      <c r="C5" s="5" t="s">
        <v>108</v>
      </c>
    </row>
    <row r="6" spans="1:5">
      <c r="A6">
        <v>3</v>
      </c>
      <c r="B6" s="5" t="s">
        <v>90</v>
      </c>
      <c r="C6" s="5" t="s">
        <v>109</v>
      </c>
    </row>
    <row r="7" spans="1:5">
      <c r="A7">
        <v>3</v>
      </c>
      <c r="B7" s="5" t="s">
        <v>91</v>
      </c>
      <c r="C7" s="5" t="s">
        <v>110</v>
      </c>
    </row>
    <row r="8" spans="1:5" s="17" customFormat="1">
      <c r="A8" s="17">
        <v>2</v>
      </c>
      <c r="B8" s="17" t="s">
        <v>88</v>
      </c>
      <c r="C8" s="17">
        <v>3</v>
      </c>
    </row>
    <row r="9" spans="1:5">
      <c r="A9">
        <v>3</v>
      </c>
      <c r="B9" s="5" t="s">
        <v>87</v>
      </c>
      <c r="C9" s="5" t="s">
        <v>114</v>
      </c>
    </row>
    <row r="10" spans="1:5">
      <c r="A10">
        <v>3</v>
      </c>
      <c r="B10" s="5" t="s">
        <v>86</v>
      </c>
      <c r="C10" s="5" t="s">
        <v>100</v>
      </c>
    </row>
    <row r="11" spans="1:5">
      <c r="A11">
        <v>3</v>
      </c>
      <c r="B11" s="5" t="s">
        <v>89</v>
      </c>
      <c r="C11" s="5" t="s">
        <v>101</v>
      </c>
    </row>
    <row r="12" spans="1:5" s="17" customFormat="1">
      <c r="A12" s="17">
        <v>2</v>
      </c>
      <c r="B12" s="17" t="s">
        <v>92</v>
      </c>
      <c r="C12" s="17">
        <v>4</v>
      </c>
    </row>
    <row r="13" spans="1:5">
      <c r="A13">
        <v>3</v>
      </c>
      <c r="B13" s="5" t="s">
        <v>93</v>
      </c>
      <c r="C13" s="5" t="s">
        <v>111</v>
      </c>
    </row>
    <row r="14" spans="1:5">
      <c r="A14">
        <v>3</v>
      </c>
      <c r="B14" s="5" t="s">
        <v>94</v>
      </c>
      <c r="C14" s="5" t="s">
        <v>112</v>
      </c>
    </row>
    <row r="15" spans="1:5" s="17" customFormat="1">
      <c r="A15" s="17">
        <v>2</v>
      </c>
      <c r="B15" s="17" t="s">
        <v>95</v>
      </c>
      <c r="C15" s="17">
        <v>5</v>
      </c>
    </row>
    <row r="16" spans="1:5">
      <c r="A16">
        <v>3</v>
      </c>
      <c r="B16" s="5" t="s">
        <v>96</v>
      </c>
      <c r="C16" s="5" t="s">
        <v>104</v>
      </c>
    </row>
    <row r="17" spans="1:3">
      <c r="A17">
        <v>3</v>
      </c>
      <c r="B17" s="5" t="s">
        <v>97</v>
      </c>
      <c r="C17" s="5" t="s">
        <v>105</v>
      </c>
    </row>
    <row r="18" spans="1:3" s="17" customFormat="1">
      <c r="A18" s="17">
        <v>2</v>
      </c>
      <c r="B18" s="17" t="s">
        <v>98</v>
      </c>
      <c r="C18" s="17">
        <v>6</v>
      </c>
    </row>
    <row r="19" spans="1:3">
      <c r="A19">
        <v>3</v>
      </c>
      <c r="B19" s="5" t="s">
        <v>85</v>
      </c>
      <c r="C19" s="5" t="s">
        <v>113</v>
      </c>
    </row>
    <row r="20" spans="1:3">
      <c r="A20">
        <v>3</v>
      </c>
      <c r="B20" s="5" t="s">
        <v>84</v>
      </c>
      <c r="C20" s="5" t="s">
        <v>106</v>
      </c>
    </row>
    <row r="21" spans="1:3">
      <c r="A21">
        <v>3</v>
      </c>
      <c r="B21" s="5" t="s">
        <v>99</v>
      </c>
      <c r="C21" s="5" t="s">
        <v>107</v>
      </c>
    </row>
    <row r="22" spans="1:3">
      <c r="A22">
        <v>2</v>
      </c>
      <c r="B22" s="5" t="s">
        <v>83</v>
      </c>
      <c r="C22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Param</vt:lpstr>
      <vt:lpstr>Metrado</vt:lpstr>
      <vt:lpstr>RESUMEN</vt:lpstr>
      <vt:lpstr>Menu</vt:lpstr>
      <vt:lpstr>Metrado!Print_Area</vt:lpstr>
      <vt:lpstr>Param!Print_Area</vt:lpstr>
      <vt:lpstr>RESUMEN!Print_Area</vt:lpstr>
      <vt:lpstr>Metrado!Print_Titles</vt:lpstr>
    </vt:vector>
  </TitlesOfParts>
  <Company>Me&amp;Ta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Gino Harold Perales Guerra</cp:lastModifiedBy>
  <cp:lastPrinted>2025-09-11T19:52:33Z</cp:lastPrinted>
  <dcterms:created xsi:type="dcterms:W3CDTF">1996-11-27T10:00:04Z</dcterms:created>
  <dcterms:modified xsi:type="dcterms:W3CDTF">2026-08-05T06:40:05Z</dcterms:modified>
</cp:coreProperties>
</file>